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sumé" sheetId="1" state="visible" r:id="rId3"/>
    <sheet name="Lots" sheetId="2" state="visible" r:id="rId4"/>
    <sheet name="Réserv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<sst xmlns="http://schemas.openxmlformats.org/spreadsheetml/2006/main" count="414" uniqueCount="237">
  <si>
    <t xml:space="preserve">Lots Rare – 20 lots entre RM99 et RM279</t>
  </si>
  <si>
    <t xml:space="preserve">RM99–279 · en stock · livrable en Malaisie · relevé le 20/10/2026</t>
  </si>
  <si>
    <t xml:space="preserve">Catégorie</t>
  </si>
  <si>
    <t xml:space="preserve">Nb lots</t>
  </si>
  <si>
    <t xml:space="preserve">Prix moyen (RM)</t>
  </si>
  <si>
    <t xml:space="preserve">Budget (RM)</t>
  </si>
  <si>
    <t xml:space="preserve">En réserve</t>
  </si>
  <si>
    <t xml:space="preserve">Harmonica</t>
  </si>
  <si>
    <t xml:space="preserve">K-pop</t>
  </si>
  <si>
    <t xml:space="preserve">Funko Pop</t>
  </si>
  <si>
    <t xml:space="preserve">Audio</t>
  </si>
  <si>
    <t xml:space="preserve">Collector</t>
  </si>
  <si>
    <t xml:space="preserve">Total</t>
  </si>
  <si>
    <t xml:space="preserve">Méthode</t>
  </si>
  <si>
    <t xml:space="preserve">• Prix = prix article affiché sur la boutique, hors frais de port.</t>
  </si>
  <si>
    <t xml:space="preserve">• Stock : disponibilité lue sur la boutique (données produit ou fiche), pas de précommande.</t>
  </si>
  <si>
    <t xml:space="preserve">• Onglet « Réserve » : produits valides en plus, pour remplacer un article épuisé.</t>
  </si>
  <si>
    <t xml:space="preserve">• Les stocks bougent vite (souvent 1–3 exemplaires) : revérifier au moment de commander.</t>
  </si>
  <si>
    <t xml:space="preserve">N°</t>
  </si>
  <si>
    <t xml:space="preserve">Produit</t>
  </si>
  <si>
    <t xml:space="preserve">Prix (RM)</t>
  </si>
  <si>
    <t xml:space="preserve">Lien</t>
  </si>
  <si>
    <t xml:space="preserve">Boutique</t>
  </si>
  <si>
    <t xml:space="preserve">Pays boutique</t>
  </si>
  <si>
    <t xml:space="preserve">Livraison Malaisie</t>
  </si>
  <si>
    <t xml:space="preserve">Stock vérifié</t>
  </si>
  <si>
    <t xml:space="preserve">Notes</t>
  </si>
  <si>
    <t xml:space="preserve">Hohner – Marine Band 1896 Classic diatonic harmonica (key of C)</t>
  </si>
  <si>
    <t xml:space="preserve">https://musicworld.com.my/products/hohner-marine-band-1896-harmonica-10-hole-mouth-organ-french-harp-made-in-germany</t>
  </si>
  <si>
    <t xml:space="preserve">LBS Music World (Penang; authorised Hohner dealer/distributor in Malaysia)</t>
  </si>
  <si>
    <t xml:space="preserve">Malaysia</t>
  </si>
  <si>
    <t xml:space="preserve">Ships within Malaysia from Penang; site advertises free shipping (T&amp;Cs apply)</t>
  </si>
  <si>
    <t xml:space="preserve">Shopify product JSON: variant 'C' available=true at RM239.00 MYR (A/F/G sold out) - 2026-10-20</t>
  </si>
  <si>
    <t xml:space="preserve">The iconic Hohner since 1896, made in Germany, 10 holes, pearwood comb. Select variant C at checkout. Also available in D/E/Bb.</t>
  </si>
  <si>
    <t xml:space="preserve">Hohner – Pro Harp MS diatonic harmonica (key of C, M564016P)</t>
  </si>
  <si>
    <t xml:space="preserve">https://bentleymusic.com/product/m564016p-c/</t>
  </si>
  <si>
    <t xml:space="preserve">Bentley Music (Mutiara Damansara, Petaling Jaya)</t>
  </si>
  <si>
    <t xml:space="preserve">Ships within Malaysia; Bentley: FREE delivery on orders of RM100 and above (except promotional items)</t>
  </si>
  <si>
    <t xml:space="preserve">Product page: schema.org availability InStock + 'Add to cart' button; sale price shown 'Current price is RM204.00' (15% off list RM240) - 2026-10-20</t>
  </si>
  <si>
    <t xml:space="preserve">Black-coated covers, pro-level Hohner MS series, key of C. Also in stock in D/G/A.</t>
  </si>
  <si>
    <t xml:space="preserve">Suzuki – Promaster MR-350 diatonic harmonica (key of D)</t>
  </si>
  <si>
    <t xml:space="preserve">https://bentleymusic.com/product/mr350-d/</t>
  </si>
  <si>
    <t xml:space="preserve">Product page: schema.org availability InStock + 'Add to cart' button; sale price shown 'Current price is RM195.50' (15% off list RM230) - 2026-10-20</t>
  </si>
  <si>
    <t xml:space="preserve">Suzuki's flagship pro model (anodised aluminium comb). Key of C out of stock; D/A/B/E in stock.</t>
  </si>
  <si>
    <t xml:space="preserve">Suzuki – Manji M-20 diatonic harmonica (key of D)</t>
  </si>
  <si>
    <t xml:space="preserve">https://bentleymusic.com/product/suz-m20d/</t>
  </si>
  <si>
    <t xml:space="preserve">Product page: schema.org availability InStock + 'Add to cart' button; sale price shown 'Current price is RM178.50' (15% off list RM210) - 2026-10-20</t>
  </si>
  <si>
    <t xml:space="preserve">Suzuki Manji with composite wood/resin comb, much loved by blues players. C out of stock; D and E in stock.</t>
  </si>
  <si>
    <t xml:space="preserve">BLACKPINK – Official Lightstick Ver.2</t>
  </si>
  <si>
    <t xml:space="preserve">https://xduniverse.com.my/products/blackpink-official-lightstick-ver-2</t>
  </si>
  <si>
    <t xml:space="preserve">XD Universe (Subang Jaya, Selangor)</t>
  </si>
  <si>
    <t xml:space="preserve">Ships from Malaysia, same day or next day after purchase (per product description)</t>
  </si>
  <si>
    <t xml:space="preserve">Shopify product JSON: available=true at RM199.00 MYR; description: 'Ship from Malaysia, ready stock' (not tagged pre-order) (variant 'Without POB Photocard'; the RM229 POB variant is sold out) - 2026-10-20</t>
  </si>
  <si>
    <t xml:space="preserve">Official YG 'Bl-ping-bong' Ver.2; choose 'Without POB Photocard' variant.</t>
  </si>
  <si>
    <t xml:space="preserve">Stray Kids – Official Lightstick Ver.2</t>
  </si>
  <si>
    <t xml:space="preserve">https://xduniverse.com.my/products/stray-kids-official-lightstick-ver-2</t>
  </si>
  <si>
    <t xml:space="preserve">Shopify product JSON: available=true at RM245.00 MYR; description: 'Ship from Malaysia, ready stock' (not tagged pre-order) - 2026-10-20</t>
  </si>
  <si>
    <t xml:space="preserve">Official JYP 'Nachimbong' Ver.2.</t>
  </si>
  <si>
    <t xml:space="preserve">TWICE – Official Lightstick (Candybong)</t>
  </si>
  <si>
    <t xml:space="preserve">https://xduniverse.com.my/products/twice-official-lightstick</t>
  </si>
  <si>
    <t xml:space="preserve">Shopify product JSON: available=true at RM215.00 MYR; description: 'Ship from Malaysia, ready stock' (not tagged pre-order) - 2026-10-20</t>
  </si>
  <si>
    <t xml:space="preserve">Official JYP Candybong.</t>
  </si>
  <si>
    <t xml:space="preserve">SEVENTEEN – 10th Anniversary Official Lightstick</t>
  </si>
  <si>
    <t xml:space="preserve">https://xduniverse.com.my/products/seventeen-10th-anniversary-official-lightstick</t>
  </si>
  <si>
    <t xml:space="preserve">Shopify product JSON: available=true at RM239.00 MYR; description: 'Ship from Malaysia, ready stock' (not tagged pre-order) - 2026-10-20</t>
  </si>
  <si>
    <t xml:space="preserve">Limited 10th-anniversary Caratbong edition.</t>
  </si>
  <si>
    <t xml:space="preserve">ENHYPEN – Official Lightstick</t>
  </si>
  <si>
    <t xml:space="preserve">https://xduniverse.com.my/products/enhypen-official-lightstick</t>
  </si>
  <si>
    <t xml:space="preserve">Official BELIFT LAB lightstick (ordered from Weverse Shop).</t>
  </si>
  <si>
    <t xml:space="preserve">Funko Pop! Rocks – Blink-182 'What's My Age Again?' 3-Pack</t>
  </si>
  <si>
    <t xml:space="preserve">https://legendarytoys.my/wp/product/funko-pop-blink-182-whats-my-age-again-3-pack/</t>
  </si>
  <si>
    <t xml:space="preserve">Legendary Toys (Amcorp Mall, Petaling Jaya)</t>
  </si>
  <si>
    <t xml:space="preserve">Ships within Malaysia (Legendary Toys online store / pickup Amcorp Mall)</t>
  </si>
  <si>
    <t xml:space="preserve">WooCommerce Store API: is_in_stock=true, stock_availability 'Available' (class in-stock), category 'Instock' (not PreOrder/BackOrder), RM240.00 MYR - 2026-10-20</t>
  </si>
  <si>
    <t xml:space="preserve">3 figures (Mark, Tom, Travis) from the iconic naked-running video.</t>
  </si>
  <si>
    <t xml:space="preserve">Funko Pop! Rocks – Green Day 'Basket Case' bundle of 3 (Billie Joe, Mike Dirnt, Tré Cool)</t>
  </si>
  <si>
    <t xml:space="preserve">https://www.sheldonet.shop/product/funko-pop-rocks-green-day-basket-case-bundle-of-3</t>
  </si>
  <si>
    <t xml:space="preserve">Sheldonet Toy Store (official Funko distributor, Malaysia)</t>
  </si>
  <si>
    <t xml:space="preserve">Ships within Malaysia (Sheldonet)</t>
  </si>
  <si>
    <t xml:space="preserve">page collection enregistrée par le client le 20/10/2026, sans badge Sold Out - 2026-10-20</t>
  </si>
  <si>
    <t xml:space="preserve">Bundle of the 3 Basket Case Pops. Sheldonet blocks automated access: price/stock from client's saved page, not re-verified by script.</t>
  </si>
  <si>
    <t xml:space="preserve">Funko Pop! Rocks – Daft Punk 'Discovery Era' 2-Pack</t>
  </si>
  <si>
    <t xml:space="preserve">https://axtoyscentury.com/product_detail.php?id=2471</t>
  </si>
  <si>
    <t xml:space="preserve">AxToysCentury (Kuala Lumpur)</t>
  </si>
  <si>
    <t xml:space="preserve">Ships within Malaysia from KL</t>
  </si>
  <si>
    <t xml:space="preserve">Product page shows 'In-Stock' badge + 'Add to Cart' button, RM188.00 - 2026-10-20</t>
  </si>
  <si>
    <t xml:space="preserve">Thomas Bangalter + Guy-Manuel in Discovery-era helmets. (Daft Punk 'Alive' 2-Pack on same site is Sold Out.)</t>
  </si>
  <si>
    <t xml:space="preserve">Funko Pop! Albums – AC/DC 'Powerage'</t>
  </si>
  <si>
    <t xml:space="preserve">https://legendarytoys.my/wp/product/funko-pop-albums-ac-dc-powerage/</t>
  </si>
  <si>
    <t xml:space="preserve">WooCommerce Store API: is_in_stock=true, 'Available' (in-stock), category 'Instock', RM130.00 MYR - 2026-10-20</t>
  </si>
  <si>
    <t xml:space="preserve">Pop! Album with figure + album-cover display case.</t>
  </si>
  <si>
    <t xml:space="preserve">JBL – Go 4 ultra-portable Bluetooth speaker (Red)</t>
  </si>
  <si>
    <t xml:space="preserve">https://shop.switch.com.my/products/jbl-go-4-red</t>
  </si>
  <si>
    <t xml:space="preserve">Switch (Apple Premium Reseller, Malaysia)</t>
  </si>
  <si>
    <t xml:space="preserve">Ships within Malaysia (Switch online store) / store pickup</t>
  </si>
  <si>
    <t xml:space="preserve">Shopify product JSON: available=true at RM199.00 MYR; also Purple/Pink in stock - 2026-10-20</t>
  </si>
  <si>
    <t xml:space="preserve">JBL Go 4: IP67, Auracast, 7h battery. Purple: https://shop.switch.com.my/products/jbl-go-4-purple</t>
  </si>
  <si>
    <t xml:space="preserve">Sony – SRS-XB100 portable wireless speaker (Blue)</t>
  </si>
  <si>
    <t xml:space="preserve">https://shop.switch.com.my/products/sony-xb100-portable-wireless-speaker-blue-srs-xb100-lce</t>
  </si>
  <si>
    <t xml:space="preserve">Ships within Malaysia (Switch online store)</t>
  </si>
  <si>
    <t xml:space="preserve">Shopify product JSON: available=true at RM169.00 MYR (Grey also available) - 2026-10-20</t>
  </si>
  <si>
    <t xml:space="preserve">Extra Bass, IP67, 16h battery, strap. Alt: All IT Hypermarket RM259 with 57-74 units per colour.</t>
  </si>
  <si>
    <t xml:space="preserve">Sony – WH-CH530 wireless on-ear headphones</t>
  </si>
  <si>
    <t xml:space="preserve">https://www.allithypermarket.com.my/products/sony-wireless-on-ear-headphones-wh-ch530-for-music-calls-bluetooth-6-0-55h-battery</t>
  </si>
  <si>
    <t xml:space="preserve">All IT Hypermarket (Malaysia)</t>
  </si>
  <si>
    <t xml:space="preserve">Ships within Malaysia only; self-pickup at Klang Valley outlets</t>
  </si>
  <si>
    <t xml:space="preserve">Shopify product JSON: all 6 colours available=true at RM199.00 MYR; inventory_policy 'deny' (no overselling/backorder) - 2026-10-20</t>
  </si>
  <si>
    <t xml:space="preserve">55h battery, Bluetooth 6.0. Colours: Black, White, Cobalt, Coral, Mint, Pink.</t>
  </si>
  <si>
    <t xml:space="preserve">KPop Demon Hunters (Soundtrack from the Netflix Film) – Golden Edition LP (store exclusive, metallic gold vinyl)</t>
  </si>
  <si>
    <t xml:space="preserve">https://umusic.my/products/kpop-demon-hunters-soundtrack-from-the-netflix-film-golden-edition</t>
  </si>
  <si>
    <t xml:space="preserve">Universal Music Malaysia (official store, umusic.my)</t>
  </si>
  <si>
    <t xml:space="preserve">Ships within Malaysia from Universal Music Malaysia's official online store</t>
  </si>
  <si>
    <t xml:space="preserve">Shopify product JSON: available=true at RM200.00 MYR (shop currency MYR; no pre-order wording) - 2026-10-20</t>
  </si>
  <si>
    <t xml:space="preserve">Official store exclusive: shimmering metallic gold vinyl + reflective gold jacket. Biggest soundtrack of 2025.</t>
  </si>
  <si>
    <t xml:space="preserve">The Beatles – 1962-1966 &amp; 1967-1970 'Red &amp; Blue' (2023 Edition) Limited Edition 4CD set</t>
  </si>
  <si>
    <t xml:space="preserve">https://umusic.my/products/red-blue-album-4cd</t>
  </si>
  <si>
    <t xml:space="preserve">Shopify product JSON: available=true at RM270.00 MYR (shop currency MYR; no pre-order wording) - 2026-10-20</t>
  </si>
  <si>
    <t xml:space="preserve">Remixed &amp; expanded Red + Blue albums, 4CD limited box.</t>
  </si>
  <si>
    <t xml:space="preserve">Taylor Swift – Speak Now (Taylor's Version) 3LP Orchid Marbled Vinyl</t>
  </si>
  <si>
    <t xml:space="preserve">https://umusic.my/products/speak-now-taylor-s-version-3lp-orchid-marbled-vinyl</t>
  </si>
  <si>
    <t xml:space="preserve">Shopify product JSON: available=true at RM230.00 MYR (shop currency MYR; no pre-order wording) - 2026-10-20</t>
  </si>
  <si>
    <t xml:space="preserve">3 orchid-marbled discs, 22 songs incl. 6 From The Vault, collectible jacket + lyric sleeves.</t>
  </si>
  <si>
    <t xml:space="preserve">Metallica – Master of Puppets 'Battery Brick' coloured vinyl</t>
  </si>
  <si>
    <t xml:space="preserve">https://umusic.my/products/master-of-puppets-battery-brick-vinyl</t>
  </si>
  <si>
    <t xml:space="preserve">Shopify product JSON: available=true at RM220.00 MYR (shop currency MYR; no pre-order wording) - 2026-10-20</t>
  </si>
  <si>
    <t xml:space="preserve">Custom coloured-vinyl reissue (Battery Brick red).</t>
  </si>
  <si>
    <t xml:space="preserve">Hohner – Special 20 diatonic harmonica (key of D, M560036P)</t>
  </si>
  <si>
    <t xml:space="preserve">https://bentleymusic.com/product/m560036p/</t>
  </si>
  <si>
    <t xml:space="preserve">Product page: schema.org availability InStock + 'Add to cart' button; sale price shown 'Current price is RM187.00' (15% off list RM220) - 2026-10-20</t>
  </si>
  <si>
    <t xml:space="preserve">The best-selling Hohner blues harp (plastic comb, airtight). C out of stock at Bentley; D/G/A in stock. Alt: DOREMi Online Special 20 key E RM200 in stock.</t>
  </si>
  <si>
    <t xml:space="preserve">Hohner – Blues Harp MS diatonic harmonica (key of D, M533036P)</t>
  </si>
  <si>
    <t xml:space="preserve">https://bentleymusic.com/product/m533036p-d/</t>
  </si>
  <si>
    <t xml:space="preserve">Classic Hohner Blues Harp (MS system), key of D (G also in stock). Alt: DOREMi Online Blues Harp B/E RM195.</t>
  </si>
  <si>
    <t xml:space="preserve">Suzuki – Promaster Hammond HA-20 diatonic harmonica (key of A)</t>
  </si>
  <si>
    <t xml:space="preserve">https://www.recomusic.com.my/products/suzuki-ha-20-promaster-hammond-diatonic-harmonica-key-of-a-10-holes</t>
  </si>
  <si>
    <t xml:space="preserve">Reco Music (Malaysia)</t>
  </si>
  <si>
    <t xml:space="preserve">Ships within Malaysia (Reco Music online store)</t>
  </si>
  <si>
    <t xml:space="preserve">Shopify product JSON: available=true, RM209.00 MYR (shop currency MYR) - 2026-10-20</t>
  </si>
  <si>
    <t xml:space="preserve">Suzuki x Hammond collab model with Hammond-branded covers. Key of A. Bentley also has HA-20 in D/G/A at RM195.50.</t>
  </si>
  <si>
    <t xml:space="preserve">Suzuki – Olive C-20 diatonic harmonica (key of D)</t>
  </si>
  <si>
    <t xml:space="preserve">https://bentleymusic.com/product/suz-c20d/</t>
  </si>
  <si>
    <t xml:space="preserve">Suzuki Olive with olive-green comb, smooth tone. Also A/G in stock.</t>
  </si>
  <si>
    <t xml:space="preserve">Suzuki – Overdrive MR-300 diatonic harmonica (key of A)</t>
  </si>
  <si>
    <t xml:space="preserve">https://bentleymusic.com/product/suz-mr300a/</t>
  </si>
  <si>
    <t xml:space="preserve">Suzuki 'Overdrive' with unusual vented covers designed for overblows. Also key of D in stock.</t>
  </si>
  <si>
    <t xml:space="preserve">Suzuki – Bluesmaster MR-250 diatonic harmonica (key of C)</t>
  </si>
  <si>
    <t xml:space="preserve">https://bentleymusic.com/product/suz-mr250c/</t>
  </si>
  <si>
    <t xml:space="preserve">Product page: schema.org availability InStock + 'Add to cart' button; sale price shown 'Current price is RM136.00' (15% off list RM160) - 2026-10-20</t>
  </si>
  <si>
    <t xml:space="preserve">Key of C (black comb for C). Lower-end of range but genuine branded Suzuki; B/D/E also in stock.</t>
  </si>
  <si>
    <t xml:space="preserve">Hohner – Big River Harp MS diatonic harmonica (key of C, M590016P)</t>
  </si>
  <si>
    <t xml:space="preserve">https://bentleymusic.com/product/m590016p/</t>
  </si>
  <si>
    <t xml:space="preserve">Hohner MS series, key of C. Backup option.</t>
  </si>
  <si>
    <t xml:space="preserve">Suzuki – SU-21 Special 21-hole tremolo harmonica (key of C)</t>
  </si>
  <si>
    <t xml:space="preserve">https://bentleymusic.com/product/suz-su21sp-n-c/</t>
  </si>
  <si>
    <t xml:space="preserve">Product page: schema.org availability InStock + 'Add to cart' button; sale price shown 'Current price is RM153.00' (15% off list RM180) - 2026-10-20</t>
  </si>
  <si>
    <t xml:space="preserve">Tremolo (Asian-style) harmonica, key of C, popular in Malaysia/Asia. Backup option.</t>
  </si>
  <si>
    <t xml:space="preserve">aespa – Official Lightstick Ver.2</t>
  </si>
  <si>
    <t xml:space="preserve">https://xduniverse.com.my/products/aespa-official-lightstick</t>
  </si>
  <si>
    <t xml:space="preserve">Shopify product JSON: available=true at RM229.00 MYR; description: 'Ship from Malaysia, ready stock' (not tagged pre-order) - 2026-10-20</t>
  </si>
  <si>
    <t xml:space="preserve">Official SM lightstick Ver.2.</t>
  </si>
  <si>
    <t xml:space="preserve">LE SSERAFIM – Official Lightstick</t>
  </si>
  <si>
    <t xml:space="preserve">https://xduniverse.com.my/products/lessearfim-official-lightstick</t>
  </si>
  <si>
    <t xml:space="preserve">Shopify product JSON: available=true at RM239.00 MYR; description: 'Ship from Malaysia, ready stock' (not tagged pre-order); title block '[READY STOCK]' - 2026-10-20</t>
  </si>
  <si>
    <t xml:space="preserve">Official SOURCE MUSIC lightstick.</t>
  </si>
  <si>
    <t xml:space="preserve">IVE – Official Lightstick Ver.2</t>
  </si>
  <si>
    <t xml:space="preserve">https://xduniverse.com.my/products/pre-order-ive-official-lightstick-ver-2</t>
  </si>
  <si>
    <t xml:space="preserve">Shopify product JSON: available=true at RM210.00 MYR; description: 'Ship from Malaysia, ready stock' (not tagged pre-order) (URL handle still contains 'pre-order' from launch, but title/description now say ready stock) - 2026-10-20</t>
  </si>
  <si>
    <t xml:space="preserve">Official Starship lightstick Ver.2. Double-check at order time because of the legacy 'pre-order' handle.</t>
  </si>
  <si>
    <t xml:space="preserve">ATEEZ – Official Light Stick Ver.3</t>
  </si>
  <si>
    <t xml:space="preserve">https://xduniverse.com.my/products/ateez-official-light-stick-ver-3</t>
  </si>
  <si>
    <t xml:space="preserve">Shopify product JSON: available=true at RM219.00 MYR; description: 'Ship from Malaysia, ready stock' (not tagged pre-order) - 2026-10-20</t>
  </si>
  <si>
    <t xml:space="preserve">Official KQ lightstick Ver.3.</t>
  </si>
  <si>
    <t xml:space="preserve">TXT (TOMORROW X TOGETHER) – Official Lightstick Ver.1</t>
  </si>
  <si>
    <t xml:space="preserve">https://xduniverse.com.my/products/txt-tomorrow-x-together-official-lightstick-ver-1</t>
  </si>
  <si>
    <t xml:space="preserve">Shopify product JSON: available=true at RM199.00 MYR; description: 'Ship from Malaysia, ready stock' (not tagged pre-order) - 2026-10-20</t>
  </si>
  <si>
    <t xml:space="preserve">Official BIGHIT MUSIC lightstick.</t>
  </si>
  <si>
    <t xml:space="preserve">G-DRAGON – Official Lightstick</t>
  </si>
  <si>
    <t xml:space="preserve">https://xduniverse.com.my/products/pob-gd-g-dragon-official-lightstick</t>
  </si>
  <si>
    <t xml:space="preserve">Shopify product JSON: available=true at RM275.00 MYR; description: 'Ship from Malaysia, ready stock' (not tagged pre-order) - 2026-10-20</t>
  </si>
  <si>
    <t xml:space="preserve">Official GD lightstick (top of range).</t>
  </si>
  <si>
    <t xml:space="preserve">DOLLA – Official Light Stick Version 2 (Malaysian girl group)</t>
  </si>
  <si>
    <t xml:space="preserve">https://umusic.my/products/dolla-official-light-stick-version-2</t>
  </si>
  <si>
    <t xml:space="preserve">Universal Music Malaysia (official store)</t>
  </si>
  <si>
    <t xml:space="preserve">Ships within Malaysia from Universal Music Malaysia's official store</t>
  </si>
  <si>
    <t xml:space="preserve">Shopify product JSON: available=true at RM200.00 MYR (no pre-order tag) - 2026-10-20</t>
  </si>
  <si>
    <t xml:space="preserve">Local twist: official lightstick of Malaysian group DOLLA (Universal Music MY).</t>
  </si>
  <si>
    <t xml:space="preserve">BTS – Official Light Stick Keyring Ver.4</t>
  </si>
  <si>
    <t xml:space="preserve">https://xduniverse.com.my/products/bts-official-light-stick-keyring-ver-4</t>
  </si>
  <si>
    <t xml:space="preserve">Shopify product JSON: available=true at RM135.00 MYR; description: 'Ship from Malaysia, ready stock' (not tagged pre-order) - 2026-10-20</t>
  </si>
  <si>
    <t xml:space="preserve">Mini ARMY Bomb keyring (lights up). Backup if the full BTS ARMY Bomb (RM250 'Special Edition', currently sold out) is unavailable.</t>
  </si>
  <si>
    <t xml:space="preserve">Funko Pop! Rocks – Jimi Hendrix #239 (Black Light) – 2021 Fall Convention Limited Edition</t>
  </si>
  <si>
    <t xml:space="preserve">https://fantasticpop.emii.fun/shop/rocks/funko-pop-rocks-jimi-hendrix-239-black-light-2021-fall-convention-limited-edition/</t>
  </si>
  <si>
    <t xml:space="preserve">FantasticPOP (Malaysia, +60 phone)</t>
  </si>
  <si>
    <t xml:space="preserve">Free shipping to West Malaysia; East Malaysia fee by postcode</t>
  </si>
  <si>
    <t xml:space="preserve">WooCommerce Store API is_in_stock=true; product page '[IN STOCK]', '1 in stock', Add to cart present, RM110.00 - 2026-10-20</t>
  </si>
  <si>
    <t xml:space="preserve">Convention-exclusive limited edition (sticker). Only 1 left.</t>
  </si>
  <si>
    <t xml:space="preserve">Funko Pop! Animation – KPop Demon Hunters #2260 Derpy with Sussie (Glow in the Dark)</t>
  </si>
  <si>
    <t xml:space="preserve">https://pxpstore.com.my/product/funko-pop-kpop-demon-hunters-2260-derpy-with-sussie-gitd/</t>
  </si>
  <si>
    <t xml:space="preserve">PXP Store (Kuala Lumpur)</t>
  </si>
  <si>
    <t xml:space="preserve">Ships within Malaysia (PXP Store)</t>
  </si>
  <si>
    <t xml:space="preserve">WooCommerce Store API: is_in_stock=true, 'Only 1 left in stock', RM120.00 MYR - 2026-10-20</t>
  </si>
  <si>
    <t xml:space="preserve">Music-film tie-in (KPop Demon Hunters), GITD special edition. Only 1 left.</t>
  </si>
  <si>
    <t xml:space="preserve">Audio-Technica – ATH-M20x professional monitor headphones</t>
  </si>
  <si>
    <t xml:space="preserve">https://www.sweelee.com.my/products/audio-technica-ath-m20x-professional-monitor-headphones</t>
  </si>
  <si>
    <t xml:space="preserve">Swee Lee Malaysia</t>
  </si>
  <si>
    <t xml:space="preserve">Ships within Malaysia (Swee Lee MY)</t>
  </si>
  <si>
    <t xml:space="preserve">Shopify product JSON: available=true at RM198.00 MYR - 2026-10-20</t>
  </si>
  <si>
    <t xml:space="preserve">Studio-monitor headphones from the iconic M-series (entry model of ATH-M50x family).</t>
  </si>
  <si>
    <t xml:space="preserve">Marshall – MS-4 Micro Amp Stack (mini full-stack guitar amp)</t>
  </si>
  <si>
    <t xml:space="preserve">https://www.sweelee.com.my/products/marshall-ms-4-micro-amp-stack</t>
  </si>
  <si>
    <t xml:space="preserve">Shopify product JSON: available=true at RM249.00 MYR - 2026-10-20</t>
  </si>
  <si>
    <t xml:space="preserve">Battery-powered 1W mini Marshall 'full stack' - iconic desk/display piece; works as a real mini amp. Use only if mini amps are acceptable (not a big instrument).</t>
  </si>
  <si>
    <t xml:space="preserve">JBL – Wave Beam true wireless earbuds (Beige)</t>
  </si>
  <si>
    <t xml:space="preserve">https://www.allithypermarket.com.my/products/jbl-wave-beam-true-wireless-earbuds</t>
  </si>
  <si>
    <t xml:space="preserve">Shopify product JSON: Beige variant available=true at RM199.00 MYR (Black/White/Mint sold out); inventory_policy 'deny' - 2026-10-20</t>
  </si>
  <si>
    <t xml:space="preserve">Only the Beige colour is in stock.</t>
  </si>
  <si>
    <t xml:space="preserve">Audio-Technica – ATH-AVC200 SonicPro over-ear headphones</t>
  </si>
  <si>
    <t xml:space="preserve">https://www.sweelee.com.my/products/audio-technica-ath-avc200-sonicpro-over-ear-headphone</t>
  </si>
  <si>
    <t xml:space="preserve">Shopify product JSON: available=true at RM140.00 MYR - 2026-10-20</t>
  </si>
  <si>
    <t xml:space="preserve">Backup option.</t>
  </si>
  <si>
    <t xml:space="preserve">KPop Demon Hunters (Soundtrack) – Glow-in-the-Dark Derpy/Sussie Edition LP (store exclusive)</t>
  </si>
  <si>
    <t xml:space="preserve">https://umusic.my/products/kpop-demon-hunters-soundtrack-from-the-netflix-film-glow-in-the-dark-derpy-sussie-edition</t>
  </si>
  <si>
    <t xml:space="preserve">Glow-in-the-dark jacket and vinyl. Zoetrope Edition also available at RM200.</t>
  </si>
  <si>
    <t xml:space="preserve">Metallica – 72 Seasons 'Never Mellow Yellow' exclusive 2LP</t>
  </si>
  <si>
    <t xml:space="preserve">https://umusic.my/products/72-seasons-d2c-exclusive-colour-2lp</t>
  </si>
  <si>
    <t xml:space="preserve">Shopify product JSON: available=true at RM250.00 MYR (shop currency MYR; no pre-order wording) - 2026-10-20</t>
  </si>
  <si>
    <t xml:space="preserve">Two yellow LPs, die-cut gatefold, printed inner sleeves + lyric poster.</t>
  </si>
  <si>
    <t xml:space="preserve">Taylor Swift – Midnights (Blood Moon Edition) vinyl</t>
  </si>
  <si>
    <t xml:space="preserve">https://umusic.my/products/midnights-blood-moon-edition-vinyl</t>
  </si>
  <si>
    <t xml:space="preserve">Shopify product JSON: available=true at RM180.00 MYR (shop currency MYR; no pre-order wording) - 2026-10-20</t>
  </si>
  <si>
    <t xml:space="preserve">Blood-moon orange marbled disc, 1 of 4 collectible jackets.</t>
  </si>
  <si>
    <t xml:space="preserve">Billie Eilish – HIT ME HARD AND SOFT (Anniversary Edition) vinyl</t>
  </si>
  <si>
    <t xml:space="preserve">https://umusic.my/products/hit-me-hard-and-soft-anniversary-edition-vinyl</t>
  </si>
  <si>
    <t xml:space="preserve">Anniversary edition LP.</t>
  </si>
  <si>
    <t xml:space="preserve">Wicked: For Good – The Soundtrack, Zoetrope Vinyl (2-disc, 4-sided)</t>
  </si>
  <si>
    <t xml:space="preserve">https://umusic.my/products/wicked-for-good-the-soundtrack-zoetrope-vinyl</t>
  </si>
  <si>
    <t xml:space="preserve">Animated zoetrope picture discs - very visual 'wow' item.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</si>
</sst>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M &quot;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CE4D6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ots" displayName="Lots" ref="A1:J21" headerRowCount="1" totalsRowCount="0" totalsRowShown="0">
  <autoFilter ref="A1:J21"/>
  <tableColumns count="10">
    <tableColumn id="1" name="N°"/>
    <tableColumn id="2" name="Catégorie"/>
    <tableColumn id="3" name="Produit"/>
    <tableColumn id="4" name="Prix (RM)"/>
    <tableColumn id="5" name="Lien"/>
    <tableColumn id="6" name="Boutique"/>
    <tableColumn id="7" name="Pays boutique"/>
    <tableColumn id="8" name="Livraison Malaisie"/>
    <tableColumn id="9" name="Stock vérifié"/>
    <tableColumn id="10" name="Notes"/>
  </tableColumns>
</table>
</file>

<file path=xl/tables/table2.xml><?xml version="1.0" encoding="utf-8"?>
<table xmlns="http://schemas.openxmlformats.org/spreadsheetml/2006/main" id="2" name="Reserve" displayName="Reserve" ref="A1:J28" headerRowCount="1" totalsRowCount="0" totalsRowShown="0">
  <autoFilter ref="A1:J28"/>
  <tableColumns count="10">
    <tableColumn id="1" name="N°"/>
    <tableColumn id="2" name="Catégorie"/>
    <tableColumn id="3" name="Produit"/>
    <tableColumn id="4" name="Prix (RM)"/>
    <tableColumn id="5" name="Lien"/>
    <tableColumn id="6" name="Boutique"/>
    <tableColumn id="7" name="Pays boutique"/>
    <tableColumn id="8" name="Livraison Malaisie"/>
    <tableColumn id="9" name="Stock vérifié"/>
    <tableColumn id="10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musicworld.com.my/products/hohner-marine-band-1896-harmonica-10-hole-mouth-organ-french-harp-made-in-germany" TargetMode="External"/><Relationship Id="rId2" Type="http://schemas.openxmlformats.org/officeDocument/2006/relationships/hyperlink" Target="https://bentleymusic.com/product/m564016p-c/" TargetMode="External"/><Relationship Id="rId3" Type="http://schemas.openxmlformats.org/officeDocument/2006/relationships/hyperlink" Target="https://bentleymusic.com/product/mr350-d/" TargetMode="External"/><Relationship Id="rId4" Type="http://schemas.openxmlformats.org/officeDocument/2006/relationships/hyperlink" Target="https://bentleymusic.com/product/suz-m20d/" TargetMode="External"/><Relationship Id="rId5" Type="http://schemas.openxmlformats.org/officeDocument/2006/relationships/hyperlink" Target="https://xduniverse.com.my/products/blackpink-official-lightstick-ver-2" TargetMode="External"/><Relationship Id="rId6" Type="http://schemas.openxmlformats.org/officeDocument/2006/relationships/hyperlink" Target="https://xduniverse.com.my/products/stray-kids-official-lightstick-ver-2" TargetMode="External"/><Relationship Id="rId7" Type="http://schemas.openxmlformats.org/officeDocument/2006/relationships/hyperlink" Target="https://xduniverse.com.my/products/twice-official-lightstick" TargetMode="External"/><Relationship Id="rId8" Type="http://schemas.openxmlformats.org/officeDocument/2006/relationships/hyperlink" Target="https://xduniverse.com.my/products/seventeen-10th-anniversary-official-lightstick" TargetMode="External"/><Relationship Id="rId9" Type="http://schemas.openxmlformats.org/officeDocument/2006/relationships/hyperlink" Target="https://xduniverse.com.my/products/enhypen-official-lightstick" TargetMode="External"/><Relationship Id="rId10" Type="http://schemas.openxmlformats.org/officeDocument/2006/relationships/hyperlink" Target="https://legendarytoys.my/wp/product/funko-pop-blink-182-whats-my-age-again-3-pack/" TargetMode="External"/><Relationship Id="rId11" Type="http://schemas.openxmlformats.org/officeDocument/2006/relationships/hyperlink" Target="https://www.sheldonet.shop/product/funko-pop-rocks-green-day-basket-case-bundle-of-3" TargetMode="External"/><Relationship Id="rId12" Type="http://schemas.openxmlformats.org/officeDocument/2006/relationships/hyperlink" Target="https://axtoyscentury.com/product_detail.php?id=2471" TargetMode="External"/><Relationship Id="rId13" Type="http://schemas.openxmlformats.org/officeDocument/2006/relationships/hyperlink" Target="https://legendarytoys.my/wp/product/funko-pop-albums-ac-dc-powerage/" TargetMode="External"/><Relationship Id="rId14" Type="http://schemas.openxmlformats.org/officeDocument/2006/relationships/hyperlink" Target="https://shop.switch.com.my/products/jbl-go-4-red" TargetMode="External"/><Relationship Id="rId15" Type="http://schemas.openxmlformats.org/officeDocument/2006/relationships/hyperlink" Target="https://shop.switch.com.my/products/sony-xb100-portable-wireless-speaker-blue-srs-xb100-lce" TargetMode="External"/><Relationship Id="rId16" Type="http://schemas.openxmlformats.org/officeDocument/2006/relationships/hyperlink" Target="https://www.allithypermarket.com.my/products/sony-wireless-on-ear-headphones-wh-ch530-for-music-calls-bluetooth-6-0-55h-battery" TargetMode="External"/><Relationship Id="rId17" Type="http://schemas.openxmlformats.org/officeDocument/2006/relationships/hyperlink" Target="https://umusic.my/products/kpop-demon-hunters-soundtrack-from-the-netflix-film-golden-edition" TargetMode="External"/><Relationship Id="rId18" Type="http://schemas.openxmlformats.org/officeDocument/2006/relationships/hyperlink" Target="https://umusic.my/products/red-blue-album-4cd" TargetMode="External"/><Relationship Id="rId19" Type="http://schemas.openxmlformats.org/officeDocument/2006/relationships/hyperlink" Target="https://umusic.my/products/speak-now-taylor-s-version-3lp-orchid-marbled-vinyl" TargetMode="External"/><Relationship Id="rId20" Type="http://schemas.openxmlformats.org/officeDocument/2006/relationships/hyperlink" Target="https://umusic.my/products/master-of-puppets-battery-brick-vinyl" TargetMode="External"/><Relationship Id="rId2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bentleymusic.com/product/m560036p/" TargetMode="External"/><Relationship Id="rId2" Type="http://schemas.openxmlformats.org/officeDocument/2006/relationships/hyperlink" Target="https://bentleymusic.com/product/m533036p-d/" TargetMode="External"/><Relationship Id="rId3" Type="http://schemas.openxmlformats.org/officeDocument/2006/relationships/hyperlink" Target="https://www.recomusic.com.my/products/suzuki-ha-20-promaster-hammond-diatonic-harmonica-key-of-a-10-holes" TargetMode="External"/><Relationship Id="rId4" Type="http://schemas.openxmlformats.org/officeDocument/2006/relationships/hyperlink" Target="https://bentleymusic.com/product/suz-c20d/" TargetMode="External"/><Relationship Id="rId5" Type="http://schemas.openxmlformats.org/officeDocument/2006/relationships/hyperlink" Target="https://bentleymusic.com/product/suz-mr300a/" TargetMode="External"/><Relationship Id="rId6" Type="http://schemas.openxmlformats.org/officeDocument/2006/relationships/hyperlink" Target="https://bentleymusic.com/product/suz-mr250c/" TargetMode="External"/><Relationship Id="rId7" Type="http://schemas.openxmlformats.org/officeDocument/2006/relationships/hyperlink" Target="https://bentleymusic.com/product/m590016p/" TargetMode="External"/><Relationship Id="rId8" Type="http://schemas.openxmlformats.org/officeDocument/2006/relationships/hyperlink" Target="https://bentleymusic.com/product/suz-su21sp-n-c/" TargetMode="External"/><Relationship Id="rId9" Type="http://schemas.openxmlformats.org/officeDocument/2006/relationships/hyperlink" Target="https://xduniverse.com.my/products/aespa-official-lightstick" TargetMode="External"/><Relationship Id="rId10" Type="http://schemas.openxmlformats.org/officeDocument/2006/relationships/hyperlink" Target="https://xduniverse.com.my/products/lessearfim-official-lightstick" TargetMode="External"/><Relationship Id="rId11" Type="http://schemas.openxmlformats.org/officeDocument/2006/relationships/hyperlink" Target="https://xduniverse.com.my/products/pre-order-ive-official-lightstick-ver-2" TargetMode="External"/><Relationship Id="rId12" Type="http://schemas.openxmlformats.org/officeDocument/2006/relationships/hyperlink" Target="https://xduniverse.com.my/products/ateez-official-light-stick-ver-3" TargetMode="External"/><Relationship Id="rId13" Type="http://schemas.openxmlformats.org/officeDocument/2006/relationships/hyperlink" Target="https://xduniverse.com.my/products/txt-tomorrow-x-together-official-lightstick-ver-1" TargetMode="External"/><Relationship Id="rId14" Type="http://schemas.openxmlformats.org/officeDocument/2006/relationships/hyperlink" Target="https://xduniverse.com.my/products/pob-gd-g-dragon-official-lightstick" TargetMode="External"/><Relationship Id="rId15" Type="http://schemas.openxmlformats.org/officeDocument/2006/relationships/hyperlink" Target="https://umusic.my/products/dolla-official-light-stick-version-2" TargetMode="External"/><Relationship Id="rId16" Type="http://schemas.openxmlformats.org/officeDocument/2006/relationships/hyperlink" Target="https://xduniverse.com.my/products/bts-official-light-stick-keyring-ver-4" TargetMode="External"/><Relationship Id="rId17" Type="http://schemas.openxmlformats.org/officeDocument/2006/relationships/hyperlink" Target="https://fantasticpop.emii.fun/shop/rocks/funko-pop-rocks-jimi-hendrix-239-black-light-2021-fall-convention-limited-edition/" TargetMode="External"/><Relationship Id="rId18" Type="http://schemas.openxmlformats.org/officeDocument/2006/relationships/hyperlink" Target="https://pxpstore.com.my/product/funko-pop-kpop-demon-hunters-2260-derpy-with-sussie-gitd/" TargetMode="External"/><Relationship Id="rId19" Type="http://schemas.openxmlformats.org/officeDocument/2006/relationships/hyperlink" Target="https://www.sweelee.com.my/products/audio-technica-ath-m20x-professional-monitor-headphones" TargetMode="External"/><Relationship Id="rId20" Type="http://schemas.openxmlformats.org/officeDocument/2006/relationships/hyperlink" Target="https://www.sweelee.com.my/products/marshall-ms-4-micro-amp-stack" TargetMode="External"/><Relationship Id="rId21" Type="http://schemas.openxmlformats.org/officeDocument/2006/relationships/hyperlink" Target="https://www.allithypermarket.com.my/products/jbl-wave-beam-true-wireless-earbuds" TargetMode="External"/><Relationship Id="rId22" Type="http://schemas.openxmlformats.org/officeDocument/2006/relationships/hyperlink" Target="https://www.sweelee.com.my/products/audio-technica-ath-avc200-sonicpro-over-ear-headphone" TargetMode="External"/><Relationship Id="rId23" Type="http://schemas.openxmlformats.org/officeDocument/2006/relationships/hyperlink" Target="https://umusic.my/products/kpop-demon-hunters-soundtrack-from-the-netflix-film-glow-in-the-dark-derpy-sussie-edition" TargetMode="External"/><Relationship Id="rId24" Type="http://schemas.openxmlformats.org/officeDocument/2006/relationships/hyperlink" Target="https://umusic.my/products/72-seasons-d2c-exclusive-colour-2lp" TargetMode="External"/><Relationship Id="rId25" Type="http://schemas.openxmlformats.org/officeDocument/2006/relationships/hyperlink" Target="https://umusic.my/products/midnights-blood-moon-edition-vinyl" TargetMode="External"/><Relationship Id="rId26" Type="http://schemas.openxmlformats.org/officeDocument/2006/relationships/hyperlink" Target="https://umusic.my/products/hit-me-hard-and-soft-anniversary-edition-vinyl" TargetMode="External"/><Relationship Id="rId27" Type="http://schemas.openxmlformats.org/officeDocument/2006/relationships/hyperlink" Target="https://umusic.my/products/wicked-for-good-the-soundtrack-zoetrope-vinyl" TargetMode="External"/><Relationship Id="rId28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n">
        <f aca="false">COUNTIF(Lots!$B$2:$B$21,A5)</f>
        <v>4</v>
      </c>
      <c r="C5" s="5" t="n">
        <f aca="false">IFERROR(AVERAGEIF(Lots!$B$2:$B$21,A5,Lots!$D$2:$D$21),0)</f>
        <v>204.25</v>
      </c>
      <c r="D5" s="5" t="n">
        <f aca="false">SUMIF(Lots!$B$2:$B$21,A5,Lots!$D$2:$D$21)</f>
        <v>817</v>
      </c>
      <c r="E5" s="4" t="n">
        <f aca="false">COUNTIF(Réserve!$B$2:$B$28,A5)</f>
        <v>8</v>
      </c>
    </row>
    <row r="6" customFormat="false" ht="15" hidden="false" customHeight="false" outlineLevel="0" collapsed="false">
      <c r="A6" s="4" t="s">
        <v>8</v>
      </c>
      <c r="B6" s="4" t="n">
        <f aca="false">COUNTIF(Lots!$B$2:$B$21,A6)</f>
        <v>5</v>
      </c>
      <c r="C6" s="5" t="n">
        <f aca="false">IFERROR(AVERAGEIF(Lots!$B$2:$B$21,A6,Lots!$D$2:$D$21),0)</f>
        <v>228.6</v>
      </c>
      <c r="D6" s="5" t="n">
        <f aca="false">SUMIF(Lots!$B$2:$B$21,A6,Lots!$D$2:$D$21)</f>
        <v>1143</v>
      </c>
      <c r="E6" s="4" t="n">
        <f aca="false">COUNTIF(Réserve!$B$2:$B$28,A6)</f>
        <v>8</v>
      </c>
    </row>
    <row r="7" customFormat="false" ht="15" hidden="false" customHeight="false" outlineLevel="0" collapsed="false">
      <c r="A7" s="4" t="s">
        <v>9</v>
      </c>
      <c r="B7" s="4" t="n">
        <f aca="false">COUNTIF(Lots!$B$2:$B$21,A7)</f>
        <v>4</v>
      </c>
      <c r="C7" s="5" t="n">
        <f aca="false">IFERROR(AVERAGEIF(Lots!$B$2:$B$21,A7,Lots!$D$2:$D$21),0)</f>
        <v>188.25</v>
      </c>
      <c r="D7" s="5" t="n">
        <f aca="false">SUMIF(Lots!$B$2:$B$21,A7,Lots!$D$2:$D$21)</f>
        <v>753</v>
      </c>
      <c r="E7" s="4" t="n">
        <f aca="false">COUNTIF(Réserve!$B$2:$B$28,A7)</f>
        <v>2</v>
      </c>
    </row>
    <row r="8" customFormat="false" ht="15" hidden="false" customHeight="false" outlineLevel="0" collapsed="false">
      <c r="A8" s="4" t="s">
        <v>10</v>
      </c>
      <c r="B8" s="4" t="n">
        <f aca="false">COUNTIF(Lots!$B$2:$B$21,A8)</f>
        <v>3</v>
      </c>
      <c r="C8" s="5" t="n">
        <f aca="false">IFERROR(AVERAGEIF(Lots!$B$2:$B$21,A8,Lots!$D$2:$D$21),0)</f>
        <v>189</v>
      </c>
      <c r="D8" s="5" t="n">
        <f aca="false">SUMIF(Lots!$B$2:$B$21,A8,Lots!$D$2:$D$21)</f>
        <v>567</v>
      </c>
      <c r="E8" s="4" t="n">
        <f aca="false">COUNTIF(Réserve!$B$2:$B$28,A8)</f>
        <v>4</v>
      </c>
    </row>
    <row r="9" customFormat="false" ht="15" hidden="false" customHeight="false" outlineLevel="0" collapsed="false">
      <c r="A9" s="4" t="s">
        <v>11</v>
      </c>
      <c r="B9" s="4" t="n">
        <f aca="false">COUNTIF(Lots!$B$2:$B$21,A9)</f>
        <v>4</v>
      </c>
      <c r="C9" s="5" t="n">
        <f aca="false">IFERROR(AVERAGEIF(Lots!$B$2:$B$21,A9,Lots!$D$2:$D$21),0)</f>
        <v>230</v>
      </c>
      <c r="D9" s="5" t="n">
        <f aca="false">SUMIF(Lots!$B$2:$B$21,A9,Lots!$D$2:$D$21)</f>
        <v>920</v>
      </c>
      <c r="E9" s="4" t="n">
        <f aca="false">COUNTIF(Réserve!$B$2:$B$28,A9)</f>
        <v>5</v>
      </c>
    </row>
    <row r="10" customFormat="false" ht="15" hidden="false" customHeight="false" outlineLevel="0" collapsed="false">
      <c r="A10" s="6" t="s">
        <v>12</v>
      </c>
      <c r="B10" s="6" t="n">
        <f aca="false">SUM(B5:B9)</f>
        <v>20</v>
      </c>
      <c r="C10" s="7" t="n">
        <f aca="false">IFERROR(AVERAGE(Lots!$D$2:$D$21),0)</f>
        <v>210</v>
      </c>
      <c r="D10" s="7" t="n">
        <f aca="false">SUM(D5:D9)</f>
        <v>4200</v>
      </c>
      <c r="E10" s="6" t="n">
        <f aca="false">SUM(E5:E9)</f>
        <v>27</v>
      </c>
    </row>
    <row r="12" customFormat="false" ht="15" hidden="false" customHeight="false" outlineLevel="0" collapsed="false">
      <c r="A12" s="8" t="s">
        <v>13</v>
      </c>
    </row>
    <row r="13" customFormat="false" ht="15" hidden="false" customHeight="false" outlineLevel="0" collapsed="false">
      <c r="A13" s="9" t="s">
        <v>14</v>
      </c>
    </row>
    <row r="14" customFormat="false" ht="15" hidden="false" customHeight="false" outlineLevel="0" collapsed="false">
      <c r="A14" s="9" t="s">
        <v>15</v>
      </c>
    </row>
    <row r="15" customFormat="false" ht="15" hidden="false" customHeight="false" outlineLevel="0" collapsed="false">
      <c r="A15" s="9" t="s">
        <v>16</v>
      </c>
    </row>
    <row r="16" customFormat="false" ht="15" hidden="false" customHeight="false" outlineLevel="0" collapsed="false">
      <c r="A16" s="9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15"/>
    <col collapsed="false" customWidth="true" hidden="false" outlineLevel="0" max="9" min="8" style="0" width="34"/>
    <col collapsed="false" customWidth="true" hidden="false" outlineLevel="0" max="10" min="10" style="0" width="44"/>
  </cols>
  <sheetData>
    <row r="1" customFormat="false" ht="26.85" hidden="false" customHeight="false" outlineLevel="0" collapsed="false">
      <c r="A1" s="3" t="s">
        <v>18</v>
      </c>
      <c r="B1" s="3" t="s">
        <v>2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</row>
    <row r="2" customFormat="false" ht="35.05" hidden="false" customHeight="false" outlineLevel="0" collapsed="false">
      <c r="A2" s="10" t="n">
        <v>1</v>
      </c>
      <c r="B2" s="11" t="s">
        <v>7</v>
      </c>
      <c r="C2" s="12" t="s">
        <v>27</v>
      </c>
      <c r="D2" s="13" t="n">
        <v>239</v>
      </c>
      <c r="E2" s="14" t="s">
        <v>28</v>
      </c>
      <c r="F2" s="10" t="s">
        <v>29</v>
      </c>
      <c r="G2" s="10" t="s">
        <v>30</v>
      </c>
      <c r="H2" s="12" t="s">
        <v>31</v>
      </c>
      <c r="I2" s="12" t="s">
        <v>32</v>
      </c>
      <c r="J2" s="12" t="s">
        <v>33</v>
      </c>
    </row>
    <row r="3" customFormat="false" ht="46.25" hidden="false" customHeight="false" outlineLevel="0" collapsed="false">
      <c r="A3" s="10" t="n">
        <v>2</v>
      </c>
      <c r="B3" s="11" t="s">
        <v>7</v>
      </c>
      <c r="C3" s="12" t="s">
        <v>34</v>
      </c>
      <c r="D3" s="13" t="n">
        <v>204</v>
      </c>
      <c r="E3" s="14" t="s">
        <v>35</v>
      </c>
      <c r="F3" s="10" t="s">
        <v>36</v>
      </c>
      <c r="G3" s="10" t="s">
        <v>30</v>
      </c>
      <c r="H3" s="12" t="s">
        <v>37</v>
      </c>
      <c r="I3" s="12" t="s">
        <v>38</v>
      </c>
      <c r="J3" s="12" t="s">
        <v>39</v>
      </c>
    </row>
    <row r="4" customFormat="false" ht="46.25" hidden="false" customHeight="false" outlineLevel="0" collapsed="false">
      <c r="A4" s="10" t="n">
        <v>3</v>
      </c>
      <c r="B4" s="11" t="s">
        <v>7</v>
      </c>
      <c r="C4" s="12" t="s">
        <v>40</v>
      </c>
      <c r="D4" s="13" t="n">
        <v>195.5</v>
      </c>
      <c r="E4" s="14" t="s">
        <v>41</v>
      </c>
      <c r="F4" s="10" t="s">
        <v>36</v>
      </c>
      <c r="G4" s="10" t="s">
        <v>30</v>
      </c>
      <c r="H4" s="12" t="s">
        <v>37</v>
      </c>
      <c r="I4" s="12" t="s">
        <v>42</v>
      </c>
      <c r="J4" s="12" t="s">
        <v>43</v>
      </c>
    </row>
    <row r="5" customFormat="false" ht="46.25" hidden="false" customHeight="false" outlineLevel="0" collapsed="false">
      <c r="A5" s="10" t="n">
        <v>4</v>
      </c>
      <c r="B5" s="11" t="s">
        <v>7</v>
      </c>
      <c r="C5" s="12" t="s">
        <v>44</v>
      </c>
      <c r="D5" s="13" t="n">
        <v>178.5</v>
      </c>
      <c r="E5" s="14" t="s">
        <v>45</v>
      </c>
      <c r="F5" s="10" t="s">
        <v>36</v>
      </c>
      <c r="G5" s="10" t="s">
        <v>30</v>
      </c>
      <c r="H5" s="12" t="s">
        <v>37</v>
      </c>
      <c r="I5" s="12" t="s">
        <v>46</v>
      </c>
      <c r="J5" s="12" t="s">
        <v>47</v>
      </c>
    </row>
    <row r="6" customFormat="false" ht="68.65" hidden="false" customHeight="false" outlineLevel="0" collapsed="false">
      <c r="A6" s="10" t="n">
        <v>5</v>
      </c>
      <c r="B6" s="11" t="s">
        <v>8</v>
      </c>
      <c r="C6" s="12" t="s">
        <v>48</v>
      </c>
      <c r="D6" s="13" t="n">
        <v>199</v>
      </c>
      <c r="E6" s="14" t="s">
        <v>49</v>
      </c>
      <c r="F6" s="10" t="s">
        <v>50</v>
      </c>
      <c r="G6" s="10" t="s">
        <v>30</v>
      </c>
      <c r="H6" s="12" t="s">
        <v>51</v>
      </c>
      <c r="I6" s="12" t="s">
        <v>52</v>
      </c>
      <c r="J6" s="12" t="s">
        <v>53</v>
      </c>
    </row>
    <row r="7" customFormat="false" ht="46.25" hidden="false" customHeight="false" outlineLevel="0" collapsed="false">
      <c r="A7" s="10" t="n">
        <v>6</v>
      </c>
      <c r="B7" s="11" t="s">
        <v>8</v>
      </c>
      <c r="C7" s="12" t="s">
        <v>54</v>
      </c>
      <c r="D7" s="13" t="n">
        <v>245</v>
      </c>
      <c r="E7" s="14" t="s">
        <v>55</v>
      </c>
      <c r="F7" s="10" t="s">
        <v>50</v>
      </c>
      <c r="G7" s="10" t="s">
        <v>30</v>
      </c>
      <c r="H7" s="12" t="s">
        <v>51</v>
      </c>
      <c r="I7" s="12" t="s">
        <v>56</v>
      </c>
      <c r="J7" s="12" t="s">
        <v>57</v>
      </c>
    </row>
    <row r="8" customFormat="false" ht="46.25" hidden="false" customHeight="false" outlineLevel="0" collapsed="false">
      <c r="A8" s="10" t="n">
        <v>7</v>
      </c>
      <c r="B8" s="11" t="s">
        <v>8</v>
      </c>
      <c r="C8" s="12" t="s">
        <v>58</v>
      </c>
      <c r="D8" s="13" t="n">
        <v>215</v>
      </c>
      <c r="E8" s="14" t="s">
        <v>59</v>
      </c>
      <c r="F8" s="10" t="s">
        <v>50</v>
      </c>
      <c r="G8" s="10" t="s">
        <v>30</v>
      </c>
      <c r="H8" s="12" t="s">
        <v>51</v>
      </c>
      <c r="I8" s="12" t="s">
        <v>60</v>
      </c>
      <c r="J8" s="12" t="s">
        <v>61</v>
      </c>
    </row>
    <row r="9" customFormat="false" ht="46.25" hidden="false" customHeight="false" outlineLevel="0" collapsed="false">
      <c r="A9" s="10" t="n">
        <v>8</v>
      </c>
      <c r="B9" s="11" t="s">
        <v>8</v>
      </c>
      <c r="C9" s="12" t="s">
        <v>62</v>
      </c>
      <c r="D9" s="13" t="n">
        <v>239</v>
      </c>
      <c r="E9" s="14" t="s">
        <v>63</v>
      </c>
      <c r="F9" s="10" t="s">
        <v>50</v>
      </c>
      <c r="G9" s="10" t="s">
        <v>30</v>
      </c>
      <c r="H9" s="12" t="s">
        <v>51</v>
      </c>
      <c r="I9" s="12" t="s">
        <v>64</v>
      </c>
      <c r="J9" s="12" t="s">
        <v>65</v>
      </c>
    </row>
    <row r="10" customFormat="false" ht="46.25" hidden="false" customHeight="false" outlineLevel="0" collapsed="false">
      <c r="A10" s="10" t="n">
        <v>9</v>
      </c>
      <c r="B10" s="11" t="s">
        <v>8</v>
      </c>
      <c r="C10" s="12" t="s">
        <v>66</v>
      </c>
      <c r="D10" s="13" t="n">
        <v>245</v>
      </c>
      <c r="E10" s="14" t="s">
        <v>67</v>
      </c>
      <c r="F10" s="10" t="s">
        <v>50</v>
      </c>
      <c r="G10" s="10" t="s">
        <v>30</v>
      </c>
      <c r="H10" s="12" t="s">
        <v>51</v>
      </c>
      <c r="I10" s="12" t="s">
        <v>56</v>
      </c>
      <c r="J10" s="12" t="s">
        <v>68</v>
      </c>
    </row>
    <row r="11" customFormat="false" ht="57.45" hidden="false" customHeight="false" outlineLevel="0" collapsed="false">
      <c r="A11" s="10" t="n">
        <v>10</v>
      </c>
      <c r="B11" s="15" t="s">
        <v>9</v>
      </c>
      <c r="C11" s="12" t="s">
        <v>69</v>
      </c>
      <c r="D11" s="13" t="n">
        <v>240</v>
      </c>
      <c r="E11" s="14" t="s">
        <v>70</v>
      </c>
      <c r="F11" s="10" t="s">
        <v>71</v>
      </c>
      <c r="G11" s="10" t="s">
        <v>30</v>
      </c>
      <c r="H11" s="12" t="s">
        <v>72</v>
      </c>
      <c r="I11" s="12" t="s">
        <v>73</v>
      </c>
      <c r="J11" s="12" t="s">
        <v>74</v>
      </c>
    </row>
    <row r="12" customFormat="false" ht="35.05" hidden="false" customHeight="false" outlineLevel="0" collapsed="false">
      <c r="A12" s="10" t="n">
        <v>11</v>
      </c>
      <c r="B12" s="15" t="s">
        <v>9</v>
      </c>
      <c r="C12" s="12" t="s">
        <v>75</v>
      </c>
      <c r="D12" s="13" t="n">
        <v>195</v>
      </c>
      <c r="E12" s="14" t="s">
        <v>76</v>
      </c>
      <c r="F12" s="10" t="s">
        <v>77</v>
      </c>
      <c r="G12" s="10" t="s">
        <v>30</v>
      </c>
      <c r="H12" s="12" t="s">
        <v>78</v>
      </c>
      <c r="I12" s="12" t="s">
        <v>79</v>
      </c>
      <c r="J12" s="12" t="s">
        <v>80</v>
      </c>
    </row>
    <row r="13" customFormat="false" ht="35.05" hidden="false" customHeight="false" outlineLevel="0" collapsed="false">
      <c r="A13" s="10" t="n">
        <v>12</v>
      </c>
      <c r="B13" s="15" t="s">
        <v>9</v>
      </c>
      <c r="C13" s="12" t="s">
        <v>81</v>
      </c>
      <c r="D13" s="13" t="n">
        <v>188</v>
      </c>
      <c r="E13" s="14" t="s">
        <v>82</v>
      </c>
      <c r="F13" s="10" t="s">
        <v>83</v>
      </c>
      <c r="G13" s="10" t="s">
        <v>30</v>
      </c>
      <c r="H13" s="12" t="s">
        <v>84</v>
      </c>
      <c r="I13" s="12" t="s">
        <v>85</v>
      </c>
      <c r="J13" s="12" t="s">
        <v>86</v>
      </c>
    </row>
    <row r="14" customFormat="false" ht="46.25" hidden="false" customHeight="false" outlineLevel="0" collapsed="false">
      <c r="A14" s="10" t="n">
        <v>13</v>
      </c>
      <c r="B14" s="15" t="s">
        <v>9</v>
      </c>
      <c r="C14" s="12" t="s">
        <v>87</v>
      </c>
      <c r="D14" s="13" t="n">
        <v>130</v>
      </c>
      <c r="E14" s="14" t="s">
        <v>88</v>
      </c>
      <c r="F14" s="10" t="s">
        <v>71</v>
      </c>
      <c r="G14" s="10" t="s">
        <v>30</v>
      </c>
      <c r="H14" s="12" t="s">
        <v>72</v>
      </c>
      <c r="I14" s="12" t="s">
        <v>89</v>
      </c>
      <c r="J14" s="12" t="s">
        <v>90</v>
      </c>
    </row>
    <row r="15" customFormat="false" ht="35.05" hidden="false" customHeight="false" outlineLevel="0" collapsed="false">
      <c r="A15" s="10" t="n">
        <v>14</v>
      </c>
      <c r="B15" s="11" t="s">
        <v>10</v>
      </c>
      <c r="C15" s="12" t="s">
        <v>91</v>
      </c>
      <c r="D15" s="13" t="n">
        <v>199</v>
      </c>
      <c r="E15" s="14" t="s">
        <v>92</v>
      </c>
      <c r="F15" s="10" t="s">
        <v>93</v>
      </c>
      <c r="G15" s="10" t="s">
        <v>30</v>
      </c>
      <c r="H15" s="12" t="s">
        <v>94</v>
      </c>
      <c r="I15" s="12" t="s">
        <v>95</v>
      </c>
      <c r="J15" s="12" t="s">
        <v>96</v>
      </c>
    </row>
    <row r="16" customFormat="false" ht="35.05" hidden="false" customHeight="false" outlineLevel="0" collapsed="false">
      <c r="A16" s="10" t="n">
        <v>15</v>
      </c>
      <c r="B16" s="11" t="s">
        <v>10</v>
      </c>
      <c r="C16" s="12" t="s">
        <v>97</v>
      </c>
      <c r="D16" s="13" t="n">
        <v>169</v>
      </c>
      <c r="E16" s="14" t="s">
        <v>98</v>
      </c>
      <c r="F16" s="10" t="s">
        <v>93</v>
      </c>
      <c r="G16" s="10" t="s">
        <v>30</v>
      </c>
      <c r="H16" s="12" t="s">
        <v>99</v>
      </c>
      <c r="I16" s="12" t="s">
        <v>100</v>
      </c>
      <c r="J16" s="12" t="s">
        <v>101</v>
      </c>
    </row>
    <row r="17" customFormat="false" ht="46.25" hidden="false" customHeight="false" outlineLevel="0" collapsed="false">
      <c r="A17" s="10" t="n">
        <v>16</v>
      </c>
      <c r="B17" s="11" t="s">
        <v>10</v>
      </c>
      <c r="C17" s="12" t="s">
        <v>102</v>
      </c>
      <c r="D17" s="13" t="n">
        <v>199</v>
      </c>
      <c r="E17" s="14" t="s">
        <v>103</v>
      </c>
      <c r="F17" s="10" t="s">
        <v>104</v>
      </c>
      <c r="G17" s="10" t="s">
        <v>30</v>
      </c>
      <c r="H17" s="12" t="s">
        <v>105</v>
      </c>
      <c r="I17" s="12" t="s">
        <v>106</v>
      </c>
      <c r="J17" s="12" t="s">
        <v>107</v>
      </c>
    </row>
    <row r="18" customFormat="false" ht="35.05" hidden="false" customHeight="false" outlineLevel="0" collapsed="false">
      <c r="A18" s="10" t="n">
        <v>17</v>
      </c>
      <c r="B18" s="11" t="s">
        <v>11</v>
      </c>
      <c r="C18" s="12" t="s">
        <v>108</v>
      </c>
      <c r="D18" s="13" t="n">
        <v>200</v>
      </c>
      <c r="E18" s="14" t="s">
        <v>109</v>
      </c>
      <c r="F18" s="10" t="s">
        <v>110</v>
      </c>
      <c r="G18" s="10" t="s">
        <v>30</v>
      </c>
      <c r="H18" s="12" t="s">
        <v>111</v>
      </c>
      <c r="I18" s="12" t="s">
        <v>112</v>
      </c>
      <c r="J18" s="12" t="s">
        <v>113</v>
      </c>
    </row>
    <row r="19" customFormat="false" ht="35.05" hidden="false" customHeight="false" outlineLevel="0" collapsed="false">
      <c r="A19" s="10" t="n">
        <v>18</v>
      </c>
      <c r="B19" s="11" t="s">
        <v>11</v>
      </c>
      <c r="C19" s="12" t="s">
        <v>114</v>
      </c>
      <c r="D19" s="13" t="n">
        <v>270</v>
      </c>
      <c r="E19" s="14" t="s">
        <v>115</v>
      </c>
      <c r="F19" s="10" t="s">
        <v>110</v>
      </c>
      <c r="G19" s="10" t="s">
        <v>30</v>
      </c>
      <c r="H19" s="12" t="s">
        <v>111</v>
      </c>
      <c r="I19" s="12" t="s">
        <v>116</v>
      </c>
      <c r="J19" s="12" t="s">
        <v>117</v>
      </c>
    </row>
    <row r="20" customFormat="false" ht="35.05" hidden="false" customHeight="false" outlineLevel="0" collapsed="false">
      <c r="A20" s="10" t="n">
        <v>19</v>
      </c>
      <c r="B20" s="11" t="s">
        <v>11</v>
      </c>
      <c r="C20" s="12" t="s">
        <v>118</v>
      </c>
      <c r="D20" s="13" t="n">
        <v>230</v>
      </c>
      <c r="E20" s="14" t="s">
        <v>119</v>
      </c>
      <c r="F20" s="10" t="s">
        <v>110</v>
      </c>
      <c r="G20" s="10" t="s">
        <v>30</v>
      </c>
      <c r="H20" s="12" t="s">
        <v>111</v>
      </c>
      <c r="I20" s="12" t="s">
        <v>120</v>
      </c>
      <c r="J20" s="12" t="s">
        <v>121</v>
      </c>
    </row>
    <row r="21" customFormat="false" ht="35.05" hidden="false" customHeight="false" outlineLevel="0" collapsed="false">
      <c r="A21" s="10" t="n">
        <v>20</v>
      </c>
      <c r="B21" s="11" t="s">
        <v>11</v>
      </c>
      <c r="C21" s="12" t="s">
        <v>122</v>
      </c>
      <c r="D21" s="13" t="n">
        <v>220</v>
      </c>
      <c r="E21" s="14" t="s">
        <v>123</v>
      </c>
      <c r="F21" s="10" t="s">
        <v>110</v>
      </c>
      <c r="G21" s="10" t="s">
        <v>30</v>
      </c>
      <c r="H21" s="12" t="s">
        <v>111</v>
      </c>
      <c r="I21" s="12" t="s">
        <v>124</v>
      </c>
      <c r="J21" s="12" t="s">
        <v>125</v>
      </c>
    </row>
  </sheetData>
  <hyperlinks>
    <hyperlink ref="E2" r:id="rId1" display="https://musicworld.com.my/products/hohner-marine-band-1896-harmonica-10-hole-mouth-organ-french-harp-made-in-germany"/>
    <hyperlink ref="E3" r:id="rId2" display="https://bentleymusic.com/product/m564016p-c/"/>
    <hyperlink ref="E4" r:id="rId3" display="https://bentleymusic.com/product/mr350-d/"/>
    <hyperlink ref="E5" r:id="rId4" display="https://bentleymusic.com/product/suz-m20d/"/>
    <hyperlink ref="E6" r:id="rId5" display="https://xduniverse.com.my/products/blackpink-official-lightstick-ver-2"/>
    <hyperlink ref="E7" r:id="rId6" display="https://xduniverse.com.my/products/stray-kids-official-lightstick-ver-2"/>
    <hyperlink ref="E8" r:id="rId7" display="https://xduniverse.com.my/products/twice-official-lightstick"/>
    <hyperlink ref="E9" r:id="rId8" display="https://xduniverse.com.my/products/seventeen-10th-anniversary-official-lightstick"/>
    <hyperlink ref="E10" r:id="rId9" display="https://xduniverse.com.my/products/enhypen-official-lightstick"/>
    <hyperlink ref="E11" r:id="rId10" display="https://legendarytoys.my/wp/product/funko-pop-blink-182-whats-my-age-again-3-pack/"/>
    <hyperlink ref="E12" r:id="rId11" display="https://www.sheldonet.shop/product/funko-pop-rocks-green-day-basket-case-bundle-of-3"/>
    <hyperlink ref="E13" r:id="rId12" display="https://axtoyscentury.com/product_detail.php?id=2471"/>
    <hyperlink ref="E14" r:id="rId13" display="https://legendarytoys.my/wp/product/funko-pop-albums-ac-dc-powerage/"/>
    <hyperlink ref="E15" r:id="rId14" display="https://shop.switch.com.my/products/jbl-go-4-red"/>
    <hyperlink ref="E16" r:id="rId15" display="https://shop.switch.com.my/products/sony-xb100-portable-wireless-speaker-blue-srs-xb100-lce"/>
    <hyperlink ref="E17" r:id="rId16" display="https://www.allithypermarket.com.my/products/sony-wireless-on-ear-headphones-wh-ch530-for-music-calls-bluetooth-6-0-55h-battery"/>
    <hyperlink ref="E18" r:id="rId17" display="https://umusic.my/products/kpop-demon-hunters-soundtrack-from-the-netflix-film-golden-edition"/>
    <hyperlink ref="E19" r:id="rId18" display="https://umusic.my/products/red-blue-album-4cd"/>
    <hyperlink ref="E20" r:id="rId19" display="https://umusic.my/products/speak-now-taylor-s-version-3lp-orchid-marbled-vinyl"/>
    <hyperlink ref="E21" r:id="rId20" display="https://umusic.my/products/master-of-puppets-battery-brick-viny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15"/>
    <col collapsed="false" customWidth="true" hidden="false" outlineLevel="0" max="9" min="8" style="0" width="34"/>
    <col collapsed="false" customWidth="true" hidden="false" outlineLevel="0" max="10" min="10" style="0" width="44"/>
  </cols>
  <sheetData>
    <row r="1" customFormat="false" ht="26.85" hidden="false" customHeight="false" outlineLevel="0" collapsed="false">
      <c r="A1" s="3" t="s">
        <v>18</v>
      </c>
      <c r="B1" s="3" t="s">
        <v>2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</row>
    <row r="2" customFormat="false" ht="46.25" hidden="false" customHeight="false" outlineLevel="0" collapsed="false">
      <c r="A2" s="10" t="n">
        <v>1</v>
      </c>
      <c r="B2" s="11" t="s">
        <v>7</v>
      </c>
      <c r="C2" s="12" t="s">
        <v>126</v>
      </c>
      <c r="D2" s="13" t="n">
        <v>187</v>
      </c>
      <c r="E2" s="14" t="s">
        <v>127</v>
      </c>
      <c r="F2" s="10" t="s">
        <v>36</v>
      </c>
      <c r="G2" s="10" t="s">
        <v>30</v>
      </c>
      <c r="H2" s="12" t="s">
        <v>37</v>
      </c>
      <c r="I2" s="12" t="s">
        <v>128</v>
      </c>
      <c r="J2" s="12" t="s">
        <v>129</v>
      </c>
    </row>
    <row r="3" customFormat="false" ht="46.25" hidden="false" customHeight="false" outlineLevel="0" collapsed="false">
      <c r="A3" s="10" t="n">
        <v>2</v>
      </c>
      <c r="B3" s="11" t="s">
        <v>7</v>
      </c>
      <c r="C3" s="12" t="s">
        <v>130</v>
      </c>
      <c r="D3" s="13" t="n">
        <v>187</v>
      </c>
      <c r="E3" s="14" t="s">
        <v>131</v>
      </c>
      <c r="F3" s="10" t="s">
        <v>36</v>
      </c>
      <c r="G3" s="10" t="s">
        <v>30</v>
      </c>
      <c r="H3" s="12" t="s">
        <v>37</v>
      </c>
      <c r="I3" s="12" t="s">
        <v>128</v>
      </c>
      <c r="J3" s="12" t="s">
        <v>132</v>
      </c>
    </row>
    <row r="4" customFormat="false" ht="35.05" hidden="false" customHeight="false" outlineLevel="0" collapsed="false">
      <c r="A4" s="10" t="n">
        <v>3</v>
      </c>
      <c r="B4" s="11" t="s">
        <v>7</v>
      </c>
      <c r="C4" s="12" t="s">
        <v>133</v>
      </c>
      <c r="D4" s="13" t="n">
        <v>209</v>
      </c>
      <c r="E4" s="14" t="s">
        <v>134</v>
      </c>
      <c r="F4" s="10" t="s">
        <v>135</v>
      </c>
      <c r="G4" s="10" t="s">
        <v>30</v>
      </c>
      <c r="H4" s="12" t="s">
        <v>136</v>
      </c>
      <c r="I4" s="12" t="s">
        <v>137</v>
      </c>
      <c r="J4" s="12" t="s">
        <v>138</v>
      </c>
    </row>
    <row r="5" customFormat="false" ht="46.25" hidden="false" customHeight="false" outlineLevel="0" collapsed="false">
      <c r="A5" s="10" t="n">
        <v>4</v>
      </c>
      <c r="B5" s="11" t="s">
        <v>7</v>
      </c>
      <c r="C5" s="12" t="s">
        <v>139</v>
      </c>
      <c r="D5" s="13" t="n">
        <v>195.5</v>
      </c>
      <c r="E5" s="14" t="s">
        <v>140</v>
      </c>
      <c r="F5" s="10" t="s">
        <v>36</v>
      </c>
      <c r="G5" s="10" t="s">
        <v>30</v>
      </c>
      <c r="H5" s="12" t="s">
        <v>37</v>
      </c>
      <c r="I5" s="12" t="s">
        <v>42</v>
      </c>
      <c r="J5" s="12" t="s">
        <v>141</v>
      </c>
    </row>
    <row r="6" customFormat="false" ht="46.25" hidden="false" customHeight="false" outlineLevel="0" collapsed="false">
      <c r="A6" s="10" t="n">
        <v>5</v>
      </c>
      <c r="B6" s="11" t="s">
        <v>7</v>
      </c>
      <c r="C6" s="12" t="s">
        <v>142</v>
      </c>
      <c r="D6" s="13" t="n">
        <v>195.5</v>
      </c>
      <c r="E6" s="14" t="s">
        <v>143</v>
      </c>
      <c r="F6" s="10" t="s">
        <v>36</v>
      </c>
      <c r="G6" s="10" t="s">
        <v>30</v>
      </c>
      <c r="H6" s="12" t="s">
        <v>37</v>
      </c>
      <c r="I6" s="12" t="s">
        <v>42</v>
      </c>
      <c r="J6" s="12" t="s">
        <v>144</v>
      </c>
    </row>
    <row r="7" customFormat="false" ht="46.25" hidden="false" customHeight="false" outlineLevel="0" collapsed="false">
      <c r="A7" s="10" t="n">
        <v>6</v>
      </c>
      <c r="B7" s="11" t="s">
        <v>7</v>
      </c>
      <c r="C7" s="12" t="s">
        <v>145</v>
      </c>
      <c r="D7" s="13" t="n">
        <v>136</v>
      </c>
      <c r="E7" s="14" t="s">
        <v>146</v>
      </c>
      <c r="F7" s="10" t="s">
        <v>36</v>
      </c>
      <c r="G7" s="10" t="s">
        <v>30</v>
      </c>
      <c r="H7" s="12" t="s">
        <v>37</v>
      </c>
      <c r="I7" s="12" t="s">
        <v>147</v>
      </c>
      <c r="J7" s="12" t="s">
        <v>148</v>
      </c>
    </row>
    <row r="8" customFormat="false" ht="46.25" hidden="false" customHeight="false" outlineLevel="0" collapsed="false">
      <c r="A8" s="10" t="n">
        <v>7</v>
      </c>
      <c r="B8" s="11" t="s">
        <v>7</v>
      </c>
      <c r="C8" s="12" t="s">
        <v>149</v>
      </c>
      <c r="D8" s="13" t="n">
        <v>136</v>
      </c>
      <c r="E8" s="14" t="s">
        <v>150</v>
      </c>
      <c r="F8" s="10" t="s">
        <v>36</v>
      </c>
      <c r="G8" s="10" t="s">
        <v>30</v>
      </c>
      <c r="H8" s="12" t="s">
        <v>37</v>
      </c>
      <c r="I8" s="12" t="s">
        <v>147</v>
      </c>
      <c r="J8" s="12" t="s">
        <v>151</v>
      </c>
    </row>
    <row r="9" customFormat="false" ht="46.25" hidden="false" customHeight="false" outlineLevel="0" collapsed="false">
      <c r="A9" s="10" t="n">
        <v>8</v>
      </c>
      <c r="B9" s="11" t="s">
        <v>7</v>
      </c>
      <c r="C9" s="12" t="s">
        <v>152</v>
      </c>
      <c r="D9" s="13" t="n">
        <v>153</v>
      </c>
      <c r="E9" s="14" t="s">
        <v>153</v>
      </c>
      <c r="F9" s="10" t="s">
        <v>36</v>
      </c>
      <c r="G9" s="10" t="s">
        <v>30</v>
      </c>
      <c r="H9" s="12" t="s">
        <v>37</v>
      </c>
      <c r="I9" s="12" t="s">
        <v>154</v>
      </c>
      <c r="J9" s="12" t="s">
        <v>155</v>
      </c>
    </row>
    <row r="10" customFormat="false" ht="46.25" hidden="false" customHeight="false" outlineLevel="0" collapsed="false">
      <c r="A10" s="10" t="n">
        <v>9</v>
      </c>
      <c r="B10" s="11" t="s">
        <v>8</v>
      </c>
      <c r="C10" s="12" t="s">
        <v>156</v>
      </c>
      <c r="D10" s="13" t="n">
        <v>229</v>
      </c>
      <c r="E10" s="14" t="s">
        <v>157</v>
      </c>
      <c r="F10" s="10" t="s">
        <v>50</v>
      </c>
      <c r="G10" s="10" t="s">
        <v>30</v>
      </c>
      <c r="H10" s="12" t="s">
        <v>51</v>
      </c>
      <c r="I10" s="12" t="s">
        <v>158</v>
      </c>
      <c r="J10" s="12" t="s">
        <v>159</v>
      </c>
    </row>
    <row r="11" customFormat="false" ht="57.45" hidden="false" customHeight="false" outlineLevel="0" collapsed="false">
      <c r="A11" s="10" t="n">
        <v>10</v>
      </c>
      <c r="B11" s="11" t="s">
        <v>8</v>
      </c>
      <c r="C11" s="12" t="s">
        <v>160</v>
      </c>
      <c r="D11" s="13" t="n">
        <v>239</v>
      </c>
      <c r="E11" s="14" t="s">
        <v>161</v>
      </c>
      <c r="F11" s="10" t="s">
        <v>50</v>
      </c>
      <c r="G11" s="10" t="s">
        <v>30</v>
      </c>
      <c r="H11" s="12" t="s">
        <v>51</v>
      </c>
      <c r="I11" s="12" t="s">
        <v>162</v>
      </c>
      <c r="J11" s="12" t="s">
        <v>163</v>
      </c>
    </row>
    <row r="12" customFormat="false" ht="68.65" hidden="false" customHeight="false" outlineLevel="0" collapsed="false">
      <c r="A12" s="10" t="n">
        <v>11</v>
      </c>
      <c r="B12" s="11" t="s">
        <v>8</v>
      </c>
      <c r="C12" s="12" t="s">
        <v>164</v>
      </c>
      <c r="D12" s="13" t="n">
        <v>210</v>
      </c>
      <c r="E12" s="14" t="s">
        <v>165</v>
      </c>
      <c r="F12" s="10" t="s">
        <v>50</v>
      </c>
      <c r="G12" s="10" t="s">
        <v>30</v>
      </c>
      <c r="H12" s="12" t="s">
        <v>51</v>
      </c>
      <c r="I12" s="12" t="s">
        <v>166</v>
      </c>
      <c r="J12" s="12" t="s">
        <v>167</v>
      </c>
    </row>
    <row r="13" customFormat="false" ht="46.25" hidden="false" customHeight="false" outlineLevel="0" collapsed="false">
      <c r="A13" s="10" t="n">
        <v>12</v>
      </c>
      <c r="B13" s="11" t="s">
        <v>8</v>
      </c>
      <c r="C13" s="12" t="s">
        <v>168</v>
      </c>
      <c r="D13" s="13" t="n">
        <v>219</v>
      </c>
      <c r="E13" s="14" t="s">
        <v>169</v>
      </c>
      <c r="F13" s="10" t="s">
        <v>50</v>
      </c>
      <c r="G13" s="10" t="s">
        <v>30</v>
      </c>
      <c r="H13" s="12" t="s">
        <v>51</v>
      </c>
      <c r="I13" s="12" t="s">
        <v>170</v>
      </c>
      <c r="J13" s="12" t="s">
        <v>171</v>
      </c>
    </row>
    <row r="14" customFormat="false" ht="46.25" hidden="false" customHeight="false" outlineLevel="0" collapsed="false">
      <c r="A14" s="10" t="n">
        <v>13</v>
      </c>
      <c r="B14" s="11" t="s">
        <v>8</v>
      </c>
      <c r="C14" s="12" t="s">
        <v>172</v>
      </c>
      <c r="D14" s="13" t="n">
        <v>199</v>
      </c>
      <c r="E14" s="14" t="s">
        <v>173</v>
      </c>
      <c r="F14" s="10" t="s">
        <v>50</v>
      </c>
      <c r="G14" s="10" t="s">
        <v>30</v>
      </c>
      <c r="H14" s="12" t="s">
        <v>51</v>
      </c>
      <c r="I14" s="12" t="s">
        <v>174</v>
      </c>
      <c r="J14" s="12" t="s">
        <v>175</v>
      </c>
    </row>
    <row r="15" customFormat="false" ht="46.25" hidden="false" customHeight="false" outlineLevel="0" collapsed="false">
      <c r="A15" s="10" t="n">
        <v>14</v>
      </c>
      <c r="B15" s="11" t="s">
        <v>8</v>
      </c>
      <c r="C15" s="12" t="s">
        <v>176</v>
      </c>
      <c r="D15" s="13" t="n">
        <v>275</v>
      </c>
      <c r="E15" s="14" t="s">
        <v>177</v>
      </c>
      <c r="F15" s="10" t="s">
        <v>50</v>
      </c>
      <c r="G15" s="10" t="s">
        <v>30</v>
      </c>
      <c r="H15" s="12" t="s">
        <v>51</v>
      </c>
      <c r="I15" s="12" t="s">
        <v>178</v>
      </c>
      <c r="J15" s="12" t="s">
        <v>179</v>
      </c>
    </row>
    <row r="16" customFormat="false" ht="35.05" hidden="false" customHeight="false" outlineLevel="0" collapsed="false">
      <c r="A16" s="10" t="n">
        <v>15</v>
      </c>
      <c r="B16" s="11" t="s">
        <v>8</v>
      </c>
      <c r="C16" s="12" t="s">
        <v>180</v>
      </c>
      <c r="D16" s="13" t="n">
        <v>200</v>
      </c>
      <c r="E16" s="14" t="s">
        <v>181</v>
      </c>
      <c r="F16" s="10" t="s">
        <v>182</v>
      </c>
      <c r="G16" s="10" t="s">
        <v>30</v>
      </c>
      <c r="H16" s="12" t="s">
        <v>183</v>
      </c>
      <c r="I16" s="12" t="s">
        <v>184</v>
      </c>
      <c r="J16" s="12" t="s">
        <v>185</v>
      </c>
    </row>
    <row r="17" customFormat="false" ht="46.25" hidden="false" customHeight="false" outlineLevel="0" collapsed="false">
      <c r="A17" s="10" t="n">
        <v>16</v>
      </c>
      <c r="B17" s="11" t="s">
        <v>8</v>
      </c>
      <c r="C17" s="12" t="s">
        <v>186</v>
      </c>
      <c r="D17" s="13" t="n">
        <v>135</v>
      </c>
      <c r="E17" s="14" t="s">
        <v>187</v>
      </c>
      <c r="F17" s="10" t="s">
        <v>50</v>
      </c>
      <c r="G17" s="10" t="s">
        <v>30</v>
      </c>
      <c r="H17" s="12" t="s">
        <v>51</v>
      </c>
      <c r="I17" s="12" t="s">
        <v>188</v>
      </c>
      <c r="J17" s="12" t="s">
        <v>189</v>
      </c>
    </row>
    <row r="18" customFormat="false" ht="46.25" hidden="false" customHeight="false" outlineLevel="0" collapsed="false">
      <c r="A18" s="10" t="n">
        <v>17</v>
      </c>
      <c r="B18" s="15" t="s">
        <v>9</v>
      </c>
      <c r="C18" s="12" t="s">
        <v>190</v>
      </c>
      <c r="D18" s="13" t="n">
        <v>110</v>
      </c>
      <c r="E18" s="14" t="s">
        <v>191</v>
      </c>
      <c r="F18" s="10" t="s">
        <v>192</v>
      </c>
      <c r="G18" s="10" t="s">
        <v>30</v>
      </c>
      <c r="H18" s="12" t="s">
        <v>193</v>
      </c>
      <c r="I18" s="12" t="s">
        <v>194</v>
      </c>
      <c r="J18" s="12" t="s">
        <v>195</v>
      </c>
    </row>
    <row r="19" customFormat="false" ht="35.05" hidden="false" customHeight="false" outlineLevel="0" collapsed="false">
      <c r="A19" s="10" t="n">
        <v>18</v>
      </c>
      <c r="B19" s="15" t="s">
        <v>9</v>
      </c>
      <c r="C19" s="12" t="s">
        <v>196</v>
      </c>
      <c r="D19" s="13" t="n">
        <v>120</v>
      </c>
      <c r="E19" s="14" t="s">
        <v>197</v>
      </c>
      <c r="F19" s="10" t="s">
        <v>198</v>
      </c>
      <c r="G19" s="10" t="s">
        <v>30</v>
      </c>
      <c r="H19" s="12" t="s">
        <v>199</v>
      </c>
      <c r="I19" s="12" t="s">
        <v>200</v>
      </c>
      <c r="J19" s="12" t="s">
        <v>201</v>
      </c>
    </row>
    <row r="20" customFormat="false" ht="23.85" hidden="false" customHeight="false" outlineLevel="0" collapsed="false">
      <c r="A20" s="10" t="n">
        <v>19</v>
      </c>
      <c r="B20" s="11" t="s">
        <v>10</v>
      </c>
      <c r="C20" s="12" t="s">
        <v>202</v>
      </c>
      <c r="D20" s="13" t="n">
        <v>198</v>
      </c>
      <c r="E20" s="14" t="s">
        <v>203</v>
      </c>
      <c r="F20" s="10" t="s">
        <v>204</v>
      </c>
      <c r="G20" s="10" t="s">
        <v>30</v>
      </c>
      <c r="H20" s="12" t="s">
        <v>205</v>
      </c>
      <c r="I20" s="12" t="s">
        <v>206</v>
      </c>
      <c r="J20" s="12" t="s">
        <v>207</v>
      </c>
    </row>
    <row r="21" customFormat="false" ht="46.25" hidden="false" customHeight="false" outlineLevel="0" collapsed="false">
      <c r="A21" s="10" t="n">
        <v>20</v>
      </c>
      <c r="B21" s="11" t="s">
        <v>10</v>
      </c>
      <c r="C21" s="12" t="s">
        <v>208</v>
      </c>
      <c r="D21" s="13" t="n">
        <v>249</v>
      </c>
      <c r="E21" s="14" t="s">
        <v>209</v>
      </c>
      <c r="F21" s="10" t="s">
        <v>204</v>
      </c>
      <c r="G21" s="10" t="s">
        <v>30</v>
      </c>
      <c r="H21" s="12" t="s">
        <v>205</v>
      </c>
      <c r="I21" s="12" t="s">
        <v>210</v>
      </c>
      <c r="J21" s="12" t="s">
        <v>211</v>
      </c>
    </row>
    <row r="22" customFormat="false" ht="46.25" hidden="false" customHeight="false" outlineLevel="0" collapsed="false">
      <c r="A22" s="10" t="n">
        <v>21</v>
      </c>
      <c r="B22" s="11" t="s">
        <v>10</v>
      </c>
      <c r="C22" s="12" t="s">
        <v>212</v>
      </c>
      <c r="D22" s="13" t="n">
        <v>199</v>
      </c>
      <c r="E22" s="14" t="s">
        <v>213</v>
      </c>
      <c r="F22" s="10" t="s">
        <v>104</v>
      </c>
      <c r="G22" s="10" t="s">
        <v>30</v>
      </c>
      <c r="H22" s="12" t="s">
        <v>105</v>
      </c>
      <c r="I22" s="12" t="s">
        <v>214</v>
      </c>
      <c r="J22" s="12" t="s">
        <v>215</v>
      </c>
    </row>
    <row r="23" customFormat="false" ht="23.85" hidden="false" customHeight="false" outlineLevel="0" collapsed="false">
      <c r="A23" s="10" t="n">
        <v>22</v>
      </c>
      <c r="B23" s="11" t="s">
        <v>10</v>
      </c>
      <c r="C23" s="12" t="s">
        <v>216</v>
      </c>
      <c r="D23" s="13" t="n">
        <v>140</v>
      </c>
      <c r="E23" s="14" t="s">
        <v>217</v>
      </c>
      <c r="F23" s="10" t="s">
        <v>204</v>
      </c>
      <c r="G23" s="10" t="s">
        <v>30</v>
      </c>
      <c r="H23" s="12" t="s">
        <v>205</v>
      </c>
      <c r="I23" s="12" t="s">
        <v>218</v>
      </c>
      <c r="J23" s="12" t="s">
        <v>219</v>
      </c>
    </row>
    <row r="24" customFormat="false" ht="35.05" hidden="false" customHeight="false" outlineLevel="0" collapsed="false">
      <c r="A24" s="10" t="n">
        <v>23</v>
      </c>
      <c r="B24" s="11" t="s">
        <v>11</v>
      </c>
      <c r="C24" s="12" t="s">
        <v>220</v>
      </c>
      <c r="D24" s="13" t="n">
        <v>200</v>
      </c>
      <c r="E24" s="14" t="s">
        <v>221</v>
      </c>
      <c r="F24" s="10" t="s">
        <v>110</v>
      </c>
      <c r="G24" s="10" t="s">
        <v>30</v>
      </c>
      <c r="H24" s="12" t="s">
        <v>111</v>
      </c>
      <c r="I24" s="12" t="s">
        <v>112</v>
      </c>
      <c r="J24" s="12" t="s">
        <v>222</v>
      </c>
    </row>
    <row r="25" customFormat="false" ht="35.05" hidden="false" customHeight="false" outlineLevel="0" collapsed="false">
      <c r="A25" s="10" t="n">
        <v>24</v>
      </c>
      <c r="B25" s="11" t="s">
        <v>11</v>
      </c>
      <c r="C25" s="12" t="s">
        <v>223</v>
      </c>
      <c r="D25" s="13" t="n">
        <v>250</v>
      </c>
      <c r="E25" s="14" t="s">
        <v>224</v>
      </c>
      <c r="F25" s="10" t="s">
        <v>110</v>
      </c>
      <c r="G25" s="10" t="s">
        <v>30</v>
      </c>
      <c r="H25" s="12" t="s">
        <v>111</v>
      </c>
      <c r="I25" s="12" t="s">
        <v>225</v>
      </c>
      <c r="J25" s="12" t="s">
        <v>226</v>
      </c>
    </row>
    <row r="26" customFormat="false" ht="35.05" hidden="false" customHeight="false" outlineLevel="0" collapsed="false">
      <c r="A26" s="10" t="n">
        <v>25</v>
      </c>
      <c r="B26" s="11" t="s">
        <v>11</v>
      </c>
      <c r="C26" s="12" t="s">
        <v>227</v>
      </c>
      <c r="D26" s="13" t="n">
        <v>180</v>
      </c>
      <c r="E26" s="14" t="s">
        <v>228</v>
      </c>
      <c r="F26" s="10" t="s">
        <v>110</v>
      </c>
      <c r="G26" s="10" t="s">
        <v>30</v>
      </c>
      <c r="H26" s="12" t="s">
        <v>111</v>
      </c>
      <c r="I26" s="12" t="s">
        <v>229</v>
      </c>
      <c r="J26" s="12" t="s">
        <v>230</v>
      </c>
    </row>
    <row r="27" customFormat="false" ht="35.05" hidden="false" customHeight="false" outlineLevel="0" collapsed="false">
      <c r="A27" s="10" t="n">
        <v>26</v>
      </c>
      <c r="B27" s="11" t="s">
        <v>11</v>
      </c>
      <c r="C27" s="12" t="s">
        <v>231</v>
      </c>
      <c r="D27" s="13" t="n">
        <v>220</v>
      </c>
      <c r="E27" s="14" t="s">
        <v>232</v>
      </c>
      <c r="F27" s="10" t="s">
        <v>110</v>
      </c>
      <c r="G27" s="10" t="s">
        <v>30</v>
      </c>
      <c r="H27" s="12" t="s">
        <v>111</v>
      </c>
      <c r="I27" s="12" t="s">
        <v>124</v>
      </c>
      <c r="J27" s="12" t="s">
        <v>233</v>
      </c>
    </row>
    <row r="28" customFormat="false" ht="35.05" hidden="false" customHeight="false" outlineLevel="0" collapsed="false">
      <c r="A28" s="10" t="n">
        <v>27</v>
      </c>
      <c r="B28" s="11" t="s">
        <v>11</v>
      </c>
      <c r="C28" s="12" t="s">
        <v>234</v>
      </c>
      <c r="D28" s="13" t="n">
        <v>220</v>
      </c>
      <c r="E28" s="14" t="s">
        <v>235</v>
      </c>
      <c r="F28" s="10" t="s">
        <v>110</v>
      </c>
      <c r="G28" s="10" t="s">
        <v>30</v>
      </c>
      <c r="H28" s="12" t="s">
        <v>111</v>
      </c>
      <c r="I28" s="12" t="s">
        <v>124</v>
      </c>
      <c r="J28" s="12" t="s">
        <v>236</v>
      </c>
    </row>
  </sheetData>
  <hyperlinks>
    <hyperlink ref="E2" r:id="rId1" display="https://bentleymusic.com/product/m560036p/"/>
    <hyperlink ref="E3" r:id="rId2" display="https://bentleymusic.com/product/m533036p-d/"/>
    <hyperlink ref="E4" r:id="rId3" display="https://www.recomusic.com.my/products/suzuki-ha-20-promaster-hammond-diatonic-harmonica-key-of-a-10-holes"/>
    <hyperlink ref="E5" r:id="rId4" display="https://bentleymusic.com/product/suz-c20d/"/>
    <hyperlink ref="E6" r:id="rId5" display="https://bentleymusic.com/product/suz-mr300a/"/>
    <hyperlink ref="E7" r:id="rId6" display="https://bentleymusic.com/product/suz-mr250c/"/>
    <hyperlink ref="E8" r:id="rId7" display="https://bentleymusic.com/product/m590016p/"/>
    <hyperlink ref="E9" r:id="rId8" display="https://bentleymusic.com/product/suz-su21sp-n-c/"/>
    <hyperlink ref="E10" r:id="rId9" display="https://xduniverse.com.my/products/aespa-official-lightstick"/>
    <hyperlink ref="E11" r:id="rId10" display="https://xduniverse.com.my/products/lessearfim-official-lightstick"/>
    <hyperlink ref="E12" r:id="rId11" display="https://xduniverse.com.my/products/pre-order-ive-official-lightstick-ver-2"/>
    <hyperlink ref="E13" r:id="rId12" display="https://xduniverse.com.my/products/ateez-official-light-stick-ver-3"/>
    <hyperlink ref="E14" r:id="rId13" display="https://xduniverse.com.my/products/txt-tomorrow-x-together-official-lightstick-ver-1"/>
    <hyperlink ref="E15" r:id="rId14" display="https://xduniverse.com.my/products/pob-gd-g-dragon-official-lightstick"/>
    <hyperlink ref="E16" r:id="rId15" display="https://umusic.my/products/dolla-official-light-stick-version-2"/>
    <hyperlink ref="E17" r:id="rId16" display="https://xduniverse.com.my/products/bts-official-light-stick-keyring-ver-4"/>
    <hyperlink ref="E18" r:id="rId17" display="https://fantasticpop.emii.fun/shop/rocks/funko-pop-rocks-jimi-hendrix-239-black-light-2021-fall-convention-limited-edition/"/>
    <hyperlink ref="E19" r:id="rId18" display="https://pxpstore.com.my/product/funko-pop-kpop-demon-hunters-2260-derpy-with-sussie-gitd/"/>
    <hyperlink ref="E20" r:id="rId19" display="https://www.sweelee.com.my/products/audio-technica-ath-m20x-professional-monitor-headphones"/>
    <hyperlink ref="E21" r:id="rId20" display="https://www.sweelee.com.my/products/marshall-ms-4-micro-amp-stack"/>
    <hyperlink ref="E22" r:id="rId21" display="https://www.allithypermarket.com.my/products/jbl-wave-beam-true-wireless-earbuds"/>
    <hyperlink ref="E23" r:id="rId22" display="https://www.sweelee.com.my/products/audio-technica-ath-avc200-sonicpro-over-ear-headphone"/>
    <hyperlink ref="E24" r:id="rId23" display="https://umusic.my/products/kpop-demon-hunters-soundtrack-from-the-netflix-film-glow-in-the-dark-derpy-sussie-edition"/>
    <hyperlink ref="E25" r:id="rId24" display="https://umusic.my/products/72-seasons-d2c-exclusive-colour-2lp"/>
    <hyperlink ref="E26" r:id="rId25" display="https://umusic.my/products/midnights-blood-moon-edition-vinyl"/>
    <hyperlink ref="E27" r:id="rId26" display="https://umusic.my/products/hit-me-hard-and-soft-anniversary-edition-vinyl"/>
    <hyperlink ref="E28" r:id="rId27" display="https://umusic.my/products/wicked-for-good-the-soundtrack-zoetrope-viny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2026-10-20T09:34:23Z</dcterms:created>
  <dc:creator>openpyxl</dc:creator>
  <dc:description/>
  <dc:language>en-US</dc:language>
  <cp:lastModifiedBy/>
  <dcterms:modified xsi:type="dcterms:W3CDTF">2026-10-20T09:34:23Z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