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Vinyles" sheetId="2" state="visible" r:id="rId4"/>
    <sheet name="Pokém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<sst xmlns="http://schemas.openxmlformats.org/spreadsheetml/2006/main" count="5319" uniqueCount="2567">
  <si>
    <t xml:space="preserve">Leads Asie du Sud-Est — Magasins de vinyles &amp; revendeurs de cartes Pokémon</t>
  </si>
  <si>
    <t xml:space="preserve">Recherche web réalisée le 08/10/2026 — Thaïlande, Vietnam, Philippines, Singapour, Indonésie</t>
  </si>
  <si>
    <t xml:space="preserve">Pays</t>
  </si>
  <si>
    <t xml:space="preserve">Vinyles</t>
  </si>
  <si>
    <t xml:space="preserve">Vinyles statut « Actif »</t>
  </si>
  <si>
    <t xml:space="preserve">Vinyles avec ≥1 contact</t>
  </si>
  <si>
    <t xml:space="preserve">Pokémon</t>
  </si>
  <si>
    <t xml:space="preserve">Pokémon priorité A</t>
  </si>
  <si>
    <t xml:space="preserve">Pokémon priorité B</t>
  </si>
  <si>
    <t xml:space="preserve">Pokémon avec ≥1 contact</t>
  </si>
  <si>
    <t xml:space="preserve">Thaïlande</t>
  </si>
  <si>
    <t xml:space="preserve">Vietnam</t>
  </si>
  <si>
    <t xml:space="preserve">Philippines</t>
  </si>
  <si>
    <t xml:space="preserve">Singapour</t>
  </si>
  <si>
    <t xml:space="preserve">Indonésie</t>
  </si>
  <si>
    <t xml:space="preserve">Total</t>
  </si>
  <si>
    <t xml:space="preserve">Comment lire le fichier</t>
  </si>
  <si>
    <t xml:space="preserve">• Onglet « Vinyles » : disquaires physiques, stands de marché, cafés/bars et boutiques hi-fi qui vendent des vinyles, vendeurs en ligne (site, Shopee/Lazada/Tokopedia, Instagram/Facebook, Discogs), labels/distributeurs.</t>
  </si>
  <si>
    <t xml:space="preserve">• Onglet « Pokémon » : boutiques TCG et revendeurs de cartes Pokémon, triés par pays puis par taille. « Gros items (preuves) » = ce qui a été vu dans les sources (booster boxes, cases, ETB, slabs PSA/BGS/CGC, vintage…).</t>
  </si>
  <si>
    <t xml:space="preserve">• Taille reseller : Gros = gros revendeur / distributeur / chaîne / grosse boutique en ligne ; Moyen = boutique dédiée vendant des boîtes scellées ; Petit = petit vendeur ; Inconnu = pas assez d'info.</t>
  </si>
  <si>
    <t xml:space="preserve">• Priorité (formule) : A = taille « Gros », ou gros items prouvés + vente en live ; B = taille « Moyen » ou gros items prouvés ; C = le reste.</t>
  </si>
  <si>
    <t xml:space="preserve">• Statut : Actif = activité vue en 2024-2026 ; Non vérifié = pas de preuve récente ; Peut-être fermé = une source évoque une fermeture (à vérifier avant contact).</t>
  </si>
  <si>
    <t xml:space="preserve">• Nb canaux de contact (formule) = nombre de champs remplis parmi Site web, Instagram, Facebook, TikTok, Téléphone, Email.</t>
  </si>
  <si>
    <t xml:space="preserve">• Google Maps : « Voir sur Maps » = lien trouvé dans les sources ; « Rechercher sur Maps » = lien de recherche généré à partir du nom et de l'adresse (boutiques physiques uniquement).</t>
  </si>
  <si>
    <t xml:space="preserve">Méthode et limites</t>
  </si>
  <si>
    <t xml:space="preserve">• Données collectées par recherche web (guides, annuaires, articles, forums, profils Instagram/Facebook/TikTok, boutiques Shopee/Lazada/Tokopedia/Carousell/Discogs), en anglais et en langues locales.</t>
  </si>
  <si>
    <t xml:space="preserve">• Chaque ligne cite au moins une source (colonne « Sources », la première est cliquable). Aucun contact n'a été inventé : un champ vide signifie que l'information n'a pas été trouvée.</t>
  </si>
  <si>
    <t xml:space="preserve">• Les petites boutiques changent vite (déménagements, fermetures, changement de compte Instagram) : vérifier le compte avant toute prise de contact.</t>
  </si>
  <si>
    <t xml:space="preserve">• Doublons fusionnés automatiquement (même nom, même Instagram, même page Facebook ou même site web dans un pays).</t>
  </si>
  <si>
    <t xml:space="preserve">#</t>
  </si>
  <si>
    <t xml:space="preserve">Nom</t>
  </si>
  <si>
    <t xml:space="preserve">Ville</t>
  </si>
  <si>
    <t xml:space="preserve">Adresse / zone</t>
  </si>
  <si>
    <t xml:space="preserve">Type</t>
  </si>
  <si>
    <t xml:space="preserve">Spécialité</t>
  </si>
  <si>
    <t xml:space="preserve">Site web</t>
  </si>
  <si>
    <t xml:space="preserve">Instagram</t>
  </si>
  <si>
    <t xml:space="preserve">Facebook</t>
  </si>
  <si>
    <t xml:space="preserve">TikTok</t>
  </si>
  <si>
    <t xml:space="preserve">Téléphone / WhatsApp</t>
  </si>
  <si>
    <t xml:space="preserve">Email</t>
  </si>
  <si>
    <t xml:space="preserve">Marketplaces (Shopee, Lazada, Discogs…)</t>
  </si>
  <si>
    <t xml:space="preserve">Google Maps</t>
  </si>
  <si>
    <t xml:space="preserve">Vente en live</t>
  </si>
  <si>
    <t xml:space="preserve">Statut</t>
  </si>
  <si>
    <t xml:space="preserve">Nb canaux de contact</t>
  </si>
  <si>
    <t xml:space="preserve">Notes</t>
  </si>
  <si>
    <t xml:space="preserve">Sources</t>
  </si>
  <si>
    <t xml:space="preserve">1979 Vinyl</t>
  </si>
  <si>
    <t xml:space="preserve">Bangkok</t>
  </si>
  <si>
    <t xml:space="preserve">3rd floor, Fortune Town, 1 Ratchadaphisek Rd (MRT Rama 9) - per Asia City</t>
  </si>
  <si>
    <t xml:space="preserve">Boutique physique</t>
  </si>
  <si>
    <t xml:space="preserve">Secondhand oldies, rock, obscure 90s; Thorens turntables</t>
  </si>
  <si>
    <t xml:space="preserve">https://www.facebook.com/1979vinyl</t>
  </si>
  <si>
    <t xml:space="preserve">Rechercher sur Maps</t>
  </si>
  <si>
    <t xml:space="preserve">Non vérifié</t>
  </si>
  <si>
    <t xml:space="preserve">Asia City listing; BK also gives Black Amber/Bungkumhouse address for 1979 Vinyls - may be related.</t>
  </si>
  <si>
    <t xml:space="preserve">https://bk.asia-city.com/shopping/article/best-shops-buy-vinyl-records-portable-turntables-bangkok-3</t>
  </si>
  <si>
    <t xml:space="preserve">242 Record Store</t>
  </si>
  <si>
    <t xml:space="preserve">Room 242, 2nd floor, River City Bangkok, Charoen Krung 24, Bangkok</t>
  </si>
  <si>
    <t xml:space="preserve">Vinyl, CDs, tapes, posters, merch</t>
  </si>
  <si>
    <t xml:space="preserve">https://www.instagram.com/242recordsstore</t>
  </si>
  <si>
    <t xml:space="preserve">~3,200 IG followers; related label account @242records_bkk.</t>
  </si>
  <si>
    <t xml:space="preserve">https://www.instagram.com/242recordsstore/</t>
  </si>
  <si>
    <t xml:space="preserve">Baa Records</t>
  </si>
  <si>
    <t xml:space="preserve">Small storefront on Charoen Krung Rd (Entertainment Project), Bangkok; main base in Songkhla</t>
  </si>
  <si>
    <t xml:space="preserve">Vinyl records</t>
  </si>
  <si>
    <t xml:space="preserve">Main base in Songkhla province with a Bangkok storefront per Time Out (Thai).</t>
  </si>
  <si>
    <t xml:space="preserve">https://www.timeout.com/bangkok/th/music/entertainment-project</t>
  </si>
  <si>
    <t xml:space="preserve">Bungkumhouse Records</t>
  </si>
  <si>
    <t xml:space="preserve">4th floor, Black Amber Building, Sukhumvit Soi 55 (Thonglor, between Soi 5 and 7), Bangkok</t>
  </si>
  <si>
    <t xml:space="preserve">80s-90s classics, Britpop, alt rock, soul, funk, electronica; local Thai indie releases</t>
  </si>
  <si>
    <t xml:space="preserve">086-606-2230</t>
  </si>
  <si>
    <t xml:space="preserve">Actif</t>
  </si>
  <si>
    <t xml:space="preserve">Also spelled Burngkumhouse. Open Wed/Tue-Sun 1pm-9pm. BK Magazine lists 1979 Vinyls at the same Black Amber address/phone.</t>
  </si>
  <si>
    <t xml:space="preserve">https://www.timeout.com/bangkok/shopping/burngkumhouse-records | https://www.bkmagazine.com/arts-culture/where-to-find-bangkoks-best-record-stores-and-vinyl-bars/ | https://www.bkmagazine.com/nightlife/bangkok-bar-club/1979-cafe-and-unknown-pleasures/</t>
  </si>
  <si>
    <t xml:space="preserve">CD Cosmos</t>
  </si>
  <si>
    <t xml:space="preserve">Chatuchak, Bangkok</t>
  </si>
  <si>
    <t xml:space="preserve">Records and CDs</t>
  </si>
  <si>
    <t xml:space="preserve">Listed in Time Out Bangkok (Thai) record shop guide.</t>
  </si>
  <si>
    <t xml:space="preserve">https://www.timeout.com/bangkok/th/music/cd-cosmos</t>
  </si>
  <si>
    <t xml:space="preserve">Coconut Records</t>
  </si>
  <si>
    <t xml:space="preserve">Room 3027, 3rd floor, Fortune Town, Ratchadaphisek Rd, Din Daeng, Bangkok</t>
  </si>
  <si>
    <t xml:space="preserve">Thai 90s releases, classic luk thung and molam; used vinyl</t>
  </si>
  <si>
    <t xml:space="preserve">Open 11:30am-8pm daily; check Facebook for event closures.</t>
  </si>
  <si>
    <t xml:space="preserve">https://www.timeout.com/bangkok/music/coconut-records</t>
  </si>
  <si>
    <t xml:space="preserve">DP Music</t>
  </si>
  <si>
    <t xml:space="preserve">Building near MRT Rama 9, Bangkok</t>
  </si>
  <si>
    <t xml:space="preserve">https://www.timeout.com/bangkok/th/music/dp-music</t>
  </si>
  <si>
    <t xml:space="preserve">Fat Black Record</t>
  </si>
  <si>
    <t xml:space="preserve">345 Thara Rom Alley, Hua Mak, Bang Kapi, Bangkok</t>
  </si>
  <si>
    <t xml:space="preserve">New pressings plus some vintage; hi-fi gear and turntables (Crosley to Rega)</t>
  </si>
  <si>
    <t xml:space="preserve">087-124-4421</t>
  </si>
  <si>
    <t xml:space="preserve">Time Out Bangkok guide. Open daily noon-8pm.</t>
  </si>
  <si>
    <t xml:space="preserve">https://www.timeout.com/bangkok/shopping/fat-black-record | https://www.timeout.com/bangkok/music/best-record-shops-in-bangkok</t>
  </si>
  <si>
    <t xml:space="preserve">Format BKK</t>
  </si>
  <si>
    <t xml:space="preserve">Charoen Phon 1 Alley, Ari, Phaya Thai, Bangkok</t>
  </si>
  <si>
    <t xml:space="preserve">Offbeat Thai and international releases, 60s-90s secondhand; turntables (Gadhouse brand); sleeve-painting workshops</t>
  </si>
  <si>
    <t xml:space="preserve">Linked to Gadhouse turntable brand. Open daily 11am-8pm. New addition to Time Out 2026 guide.</t>
  </si>
  <si>
    <t xml:space="preserve">https://www.timeout.com/bangkok/music/best-record-shops-in-bangkok | https://www.timeout.com/bangkok/things-to-do/paint-vinyl-records-at-format-bkk</t>
  </si>
  <si>
    <t xml:space="preserve">Garage Records</t>
  </si>
  <si>
    <t xml:space="preserve">Lad Phrao Soi 8 (Yaek 9), Bangkok</t>
  </si>
  <si>
    <t xml:space="preserve">Rare finds, 80s-90s alternative rock</t>
  </si>
  <si>
    <t xml:space="preserve">Listed by BK Magazine. Listed in BK Magazine roundup (date uncertain, 2019-2025).</t>
  </si>
  <si>
    <t xml:space="preserve">https://www.bkmagazine.com/arts-culture/where-to-find-bangkoks-best-record-stores-and-vinyl-bars/</t>
  </si>
  <si>
    <t xml:space="preserve">Get Back and Jude Records</t>
  </si>
  <si>
    <t xml:space="preserve">399 Thanon Yaowaphanit, Samphanthawong (Yaowarat/Song Wat), Bangkok; pop-ups at Siam Discovery 2F and Siam Paragon 5F (Nextopia)</t>
  </si>
  <si>
    <t xml:space="preserve">Vinyl, esp. 7-inch singles and early pressings</t>
  </si>
  <si>
    <t xml:space="preserve">Time Out Bangkok 2026 guide. Open 11am-8pm daily. Has mall pop-up outposts.</t>
  </si>
  <si>
    <t xml:space="preserve">https://www.timeout.com/bangkok/music/get-back-and-jude-records | https://www.timeout.com/bangkok/music/best-record-shops-in-bangkok</t>
  </si>
  <si>
    <t xml:space="preserve">Hall of Fame Records</t>
  </si>
  <si>
    <t xml:space="preserve">3rd floor (3058), Fortune Town, Ratchadaphisek Rd, Din Daeng, Bangkok</t>
  </si>
  <si>
    <t xml:space="preserve">Used &amp; new vinyl; international and Thai hits; classic rock, country, European ambient; claims 40,000+ titles</t>
  </si>
  <si>
    <t xml:space="preserve">Once had several branches (incl. Thanya Shopping Park, Srinakarin); now one walk-in store at Fortune Town. Open 1pm-8pm daily. Possibly Bangkok's biggest record shop.</t>
  </si>
  <si>
    <t xml:space="preserve">https://www.timeout.com/bangkok/shopping/hall-of-fame-records | https://www.timeout.com/bangkok/music/best-record-shops-in-bangkok | https://citynomads.com/8-records-stores-in-bangkok-for-vinyl-music-cassettes-and-cds/</t>
  </si>
  <si>
    <t xml:space="preserve">HAVE YOU HEARD? Records</t>
  </si>
  <si>
    <t xml:space="preserve">Entertainment Project, 1107 Si Phraya Rd (Charoen Krung 43 area), Bang Rak, Bangkok</t>
  </si>
  <si>
    <t xml:space="preserve">Indie/alternative, soul, funk, hip-hop, house, techno; new vinyl</t>
  </si>
  <si>
    <t xml:space="preserve">Founded 2021 by indie promoters. Open Wed/Thu/Sun 12-8pm, Fri-Sat until midnight; closed Mon-Tue.</t>
  </si>
  <si>
    <t xml:space="preserve">https://www.timeout.com/bangkok/music/have-you-heard-records-entertainment-project | https://www.timeout.com/bangkok/music/best-record-shops-in-bangkok</t>
  </si>
  <si>
    <t xml:space="preserve">More Rice Records</t>
  </si>
  <si>
    <t xml:space="preserve">Sukhumvit Soi 31 / Phrom Phong back sois (near BTS Phrom Phong), Bangkok</t>
  </si>
  <si>
    <t xml:space="preserve">Boutique + en ligne</t>
  </si>
  <si>
    <t xml:space="preserve">House, techno, electronic; new second-hand stock every Thursday; label 'Made in Asia since 2016'</t>
  </si>
  <si>
    <t xml:space="preserve">https://www.instagram.com/morericerecords</t>
  </si>
  <si>
    <t xml:space="preserve">Club-music label turned record store, store opened March 2021. Store IG @morerice.recordstore; hours Tue-Fri 1-8pm, Sat 3-8pm; new secondhand stock every Thursday.</t>
  </si>
  <si>
    <t xml:space="preserve">https://www.instagram.com/morericerecords/ | https://www.instagram.com/morerice.recordstore/ | https://www.bkmagazine.com/arts-culture/where-to-find-bangkoks-best-record-stores-and-vinyl-bars/ | https://thestandard.co/pop-cast-more-rice-record-store-playlist/</t>
  </si>
  <si>
    <t xml:space="preserve">Nong Taprachan</t>
  </si>
  <si>
    <t xml:space="preserve">14 Tha Prachan (Wang Lang / Rot Fai Pier Alley area), Phra Borom Maha Ratchawang, Phra Nakhon, Bangkok</t>
  </si>
  <si>
    <t xml:space="preserve">New and classic Thai albums, Thai music past and present, some metal</t>
  </si>
  <si>
    <t xml:space="preserve">#1 in Time Out Bangkok record shop guide (Feb 2026). Open daily 11am-6:30pm; hosts young band sets.</t>
  </si>
  <si>
    <t xml:space="preserve">https://www.timeout.com/bangkok/music/nong-taprachan | https://www.timeout.com/bangkok/music/best-record-shops-in-bangkok</t>
  </si>
  <si>
    <t xml:space="preserve">PPrecordsrecords</t>
  </si>
  <si>
    <t xml:space="preserve">Vendeur réseaux sociaux</t>
  </si>
  <si>
    <t xml:space="preserve">Vinyl records; worldwide shipping; orders via DM</t>
  </si>
  <si>
    <t xml:space="preserve">https://www.instagram.com/pprecordsrecords</t>
  </si>
  <si>
    <t xml:space="preserve">Online seller based in Bangkok.</t>
  </si>
  <si>
    <t xml:space="preserve">https://www.instagram.com/pprecordsrecords/</t>
  </si>
  <si>
    <t xml:space="preserve">Record Record.</t>
  </si>
  <si>
    <t xml:space="preserve">Pop-up at Foundry Creative Hub (per IG)</t>
  </si>
  <si>
    <t xml:space="preserve">Vinyl records and turntables</t>
  </si>
  <si>
    <t xml:space="preserve">https://www.instagram.com/recordrecord.th</t>
  </si>
  <si>
    <t xml:space="preserve">~22K IG followers; pop-up open 12-8pm, closed Mondays.</t>
  </si>
  <si>
    <t xml:space="preserve">https://www.instagram.com/recordrecord.th/</t>
  </si>
  <si>
    <t xml:space="preserve">Record Shop (Raan Pan Sieng)</t>
  </si>
  <si>
    <t xml:space="preserve">3 Soi Pradiphat 19, Pradiphat Rd, Samsen Nai, Phaya Thai, Bangkok</t>
  </si>
  <si>
    <t xml:space="preserve">Vintage and current albums, rare items; Thai cassettes and LPs</t>
  </si>
  <si>
    <t xml:space="preserve">Listed in Time Out Bangkok record shop guide. Open 10:30am-9pm.</t>
  </si>
  <si>
    <t xml:space="preserve">https://www.timeout.com/bangkok/shopping/record-shop-raan-pan-sieng | https://www.timeout.com/bangkok/music/best-record-shops-in-bangkok</t>
  </si>
  <si>
    <t xml:space="preserve">Record This</t>
  </si>
  <si>
    <t xml:space="preserve">3rd floor, Central Ladprao, Bangkok</t>
  </si>
  <si>
    <t xml:space="preserve">https://www.instagram.com/recordthis_vinyl</t>
  </si>
  <si>
    <t xml:space="preserve">Bangkok-based; ~1,300 IG followers.</t>
  </si>
  <si>
    <t xml:space="preserve">https://www.instagram.com/recordthis_vinyl/</t>
  </si>
  <si>
    <t xml:space="preserve">recordoffee (record &amp; coffee)</t>
  </si>
  <si>
    <t xml:space="preserve">Charoen Krung 29, Bangkok</t>
  </si>
  <si>
    <t xml:space="preserve">Café / bar avec boutique</t>
  </si>
  <si>
    <t xml:space="preserve">Records + coffee</t>
  </si>
  <si>
    <t xml:space="preserve">https://www.instagram.com/recordoffee</t>
  </si>
  <si>
    <t xml:space="preserve">Weekdays 9:30-18:00, weekends 8:00-20:00, closed Tue.</t>
  </si>
  <si>
    <t xml:space="preserve">https://www.instagram.com/recordoffee/</t>
  </si>
  <si>
    <t xml:space="preserve">Recoroom Vinyl &amp; Vintage Audio</t>
  </si>
  <si>
    <t xml:space="preserve">Building fronting Ekamai bus terminal (Ekkamai), Khlong Toei, Bangkok 10110 (older listings: Ekkamai 10 / Sukhumvit Soi 31 / Thetsaban Songkhro Rd, Chatuchak)</t>
  </si>
  <si>
    <t xml:space="preserve">Used/hand-picked vinyl: soul, funk, blues, rock; vintage audio equipment; listening turntable</t>
  </si>
  <si>
    <t xml:space="preserve">Time Out Bangkok 2026 guide; ranked #147 in The Vinyl Factory world's best record shops. Open daily ~11am-7pm. Address has moved several times - confirm.</t>
  </si>
  <si>
    <t xml:space="preserve">https://www.timeout.com/bangkok/music/recoroom-vinyl-and-vintage-audio | https://www.timeout.com/bangkok/music/best-record-shops-in-bangkok | https://thevinylfactory.com/features/the-worlds-best-record-shops-147-recoroom-vinyl-vintage-audio-bangkok</t>
  </si>
  <si>
    <t xml:space="preserve">Sex Record Shop</t>
  </si>
  <si>
    <t xml:space="preserve">2nd floor, Seenspace, Thonglor Soi 13, Bangkok</t>
  </si>
  <si>
    <t xml:space="preserve">New &amp; used LPs; 70s-80s heavy rock, 90s alternative, film soundtracks</t>
  </si>
  <si>
    <t xml:space="preserve">02-185-2728</t>
  </si>
  <si>
    <t xml:space="preserve">Listed in BK Magazine 2019 roundup; no recent evidence seen. Listed in BK Magazine roundup (date uncertain, 2019-2025).</t>
  </si>
  <si>
    <t xml:space="preserve">https://www.bkmagazine.com/arts-culture/where-to-find-bangkoks-best-record-stores-and-vinyl-bars/ | https://bk.asia-city.com/shopping/article/best-shops-buy-vinyl-records-portable-turntables-bangkok</t>
  </si>
  <si>
    <t xml:space="preserve">Tang Siang Thai</t>
  </si>
  <si>
    <t xml:space="preserve">Charoenkrung Soi 11 (near MRT Sam Yot), Bangkok</t>
  </si>
  <si>
    <t xml:space="preserve">60s-70s LPs, Thai and Chinese pressings; used</t>
  </si>
  <si>
    <t xml:space="preserve">Old-school shop listed by BK Magazine. Listed in BK Magazine roundup (date uncertain, 2019-2025).</t>
  </si>
  <si>
    <t xml:space="preserve">Tonchabab Record Shop</t>
  </si>
  <si>
    <t xml:space="preserve">10 Boonsiri Rd (Phra Nakhon) and Pattanakarn Rd branch, Bangkok</t>
  </si>
  <si>
    <t xml:space="preserve">Rare world music, luk thung, 60s-70s pop; used</t>
  </si>
  <si>
    <t xml:space="preserve">Family-run, two branches, visits by appointment. Listed in BK Magazine roundup (date uncertain, 2019-2025).</t>
  </si>
  <si>
    <t xml:space="preserve">Trackaddict Record</t>
  </si>
  <si>
    <t xml:space="preserve">47 MT&amp;T Building, Soi Pridi Banomyong 3 (Sukhumvit 69 area), Watthana, Bangkok 10110</t>
  </si>
  <si>
    <t xml:space="preserve">Used/rare vinyl from ~300 THB; rock, R&amp;B, soul, soundtracks</t>
  </si>
  <si>
    <t xml:space="preserve">Also written Track Addict. Weekdays 9am-8pm, weekends noon-8pm.</t>
  </si>
  <si>
    <t xml:space="preserve">https://timeout.com/bangkok/shopping/trackaddict-record | https://citynomads.com/8-records-stores-in-bangkok-for-vinyl-music-cassettes-and-cds/</t>
  </si>
  <si>
    <t xml:space="preserve">Vinyl &amp; Toys</t>
  </si>
  <si>
    <t xml:space="preserve">19 Pradit Manutham Rd (near Bangkok Resort), Lat Phrao, Bangkok 10230 (Ramintra); second branch at Fortune Town, Ratchadaphisek Rd</t>
  </si>
  <si>
    <t xml:space="preserve">Large used stock leaning Japanese jazz and soul; toys; coffee</t>
  </si>
  <si>
    <t xml:space="preserve">Simon Grigg describes Fortune Town branch as two adjacent shops (full price + bargain). Ramintra main shop.</t>
  </si>
  <si>
    <t xml:space="preserve">https://www.timeout.com/bangkok/music/vinyl-toys | https://www.thebangkoknavigator.simongrigg.info/</t>
  </si>
  <si>
    <t xml:space="preserve">Vinyl Die Hards</t>
  </si>
  <si>
    <t xml:space="preserve">162 Srinagarindra Rd (opposite Paradise Park, Srinakarin Soi 44), Prawet, Bangkok</t>
  </si>
  <si>
    <t xml:space="preserve">Used vinyl from ~100 THB; classics (jazz, rock, pop)</t>
  </si>
  <si>
    <t xml:space="preserve">Run by child of PS Audio's owner (PS Audio closed).</t>
  </si>
  <si>
    <t xml:space="preserve">https://www.timeout.com/bangkok/shopping/vinyl-die-hards | https://citynomads.com/8-records-stores-in-bangkok-for-vinyl-music-cassettes-and-cds/</t>
  </si>
  <si>
    <t xml:space="preserve">Vinyl Feeling</t>
  </si>
  <si>
    <t xml:space="preserve">Warehouse 30, Charoenkrung Soi 30, Bang Rak, Bangkok; corner in Another Story, EmQuartier 4F</t>
  </si>
  <si>
    <t xml:space="preserve">Hip-hop, R&amp;B, drum and bass vinyl</t>
  </si>
  <si>
    <t xml:space="preserve">Listed in Asia City / BK roundups (c.2019-2021).</t>
  </si>
  <si>
    <t xml:space="preserve">https://bk.asia-city.com/shopping/article/best-shops-buy-vinyl-records-portable-turntables-bangkok | https://www.bkmagazine.com/city-living/shopping-article-best-shops-buy-vinyl-records-portable-turntables-bangkok/</t>
  </si>
  <si>
    <t xml:space="preserve">Vinyllica Record Fortune Town</t>
  </si>
  <si>
    <t xml:space="preserve">Fortune Town, Ratchadaphisek Rd, Bangkok</t>
  </si>
  <si>
    <t xml:space="preserve">Hard rock &amp; heavy metal focus; Thai and international records</t>
  </si>
  <si>
    <t xml:space="preserve">https://www.instagram.com/vinyllica_record_fortunetown</t>
  </si>
  <si>
    <t xml:space="preserve">Thai name ไวนิลลิกา ฟอร์จูนทาวน์.</t>
  </si>
  <si>
    <t xml:space="preserve">https://www.instagram.com/vinyllica_record_fortunetown/ | https://www.bkmagazine.com/arts-culture/where-to-find-bangkoks-best-record-stores-and-vinyl-bars/</t>
  </si>
  <si>
    <t xml:space="preserve">Zubaidah Records</t>
  </si>
  <si>
    <t xml:space="preserve">Between BTS Ekkamai and BTS Phra Khanong, Bangkok</t>
  </si>
  <si>
    <t xml:space="preserve">Listed in Simon Grigg's Bangkok Navigator record shop guide (compiled c.2021).</t>
  </si>
  <si>
    <t xml:space="preserve">https://www.thebangkoknavigator.simongrigg.info/</t>
  </si>
  <si>
    <t xml:space="preserve">Zudrangma Records</t>
  </si>
  <si>
    <t xml:space="preserve">7/1 Sukhumvit Soi 51, Khlong Tan Nuea, Watthana, Bangkok</t>
  </si>
  <si>
    <t xml:space="preserve">Molam, luk thung, Thai funk, world music, disco; own label reissues; new &amp; used</t>
  </si>
  <si>
    <t xml:space="preserve">+66 83 063 1335</t>
  </si>
  <si>
    <t xml:space="preserve">Owned by DJ Maft Sai. Wed-Sun 12-8pm. Has web shop. 4.6 on Wanderlog (120+ reviews).</t>
  </si>
  <si>
    <t xml:space="preserve">https://wanderlog.com/place/details/1841365/zudrangma-records | https://www.timeout.com/bangkok/shopping/zudrangma-records | https://citynomads.com/8-records-stores-in-bangkok-for-vinyl-music-cassettes-and-cds/</t>
  </si>
  <si>
    <t xml:space="preserve">Anglo Siam Record Shop</t>
  </si>
  <si>
    <t xml:space="preserve">Chiang Mai</t>
  </si>
  <si>
    <t xml:space="preserve">Loi Kroh Rd, Chiang Mai</t>
  </si>
  <si>
    <t xml:space="preserve">Imported rare grooves and scarce Thai pressings; drinks while browsing</t>
  </si>
  <si>
    <t xml:space="preserve">New shop opened by DJ outfit Anglo Siam (Time Out Chiang Mai opening listing, Jan 10 - after the c.2025 top-11 list). Opens from midday.</t>
  </si>
  <si>
    <t xml:space="preserve">https://www.timeout.com/chiang-mai/things-to-do/dig-into-rare-grooves-at-the-anglo-siam-record-shop-opening</t>
  </si>
  <si>
    <t xml:space="preserve">Deaf Shop</t>
  </si>
  <si>
    <t xml:space="preserve">Old town, Chiang Mai (near Nuii Bar, Pra Pok Klao Rd Soi 1)</t>
  </si>
  <si>
    <t xml:space="preserve">Vinyl listening bar and record store; large LP collection</t>
  </si>
  <si>
    <t xml:space="preserve">Opened May 2022 by Mum Pimolpud and Laurens Brouwer. Open Thu-Sat evenings and Sunday afternoons.</t>
  </si>
  <si>
    <t xml:space="preserve">https://mixmag.asia/read/chiang-mai-first-vinyl-listening-bar-deaf-shop-local | https://cnxmag.beehiiv.com/p/deaf-shop-is-a-vinyl-listening-gem | https://www.timeout.com/chiang-mai/music/chiang-mais-top-11-places-to-dig-for-vinyl</t>
  </si>
  <si>
    <t xml:space="preserve">Franc Haus</t>
  </si>
  <si>
    <t xml:space="preserve">Upstairs at Potto diner, Nimman, Chiang Mai</t>
  </si>
  <si>
    <t xml:space="preserve">New releases (largest new-release range in the city)</t>
  </si>
  <si>
    <t xml:space="preserve">Small record shop listed in Time Out Chiang Mai top 11 (c.2025).</t>
  </si>
  <si>
    <t xml:space="preserve">https://www.timeout.com/chiang-mai/music/chiang-mais-top-11-places-to-dig-for-vinyl</t>
  </si>
  <si>
    <t xml:space="preserve">HiFi.Day at Back2nd.CNX</t>
  </si>
  <si>
    <t xml:space="preserve">Basement under Think Park, Nimman, Chiang Mai</t>
  </si>
  <si>
    <t xml:space="preserve">Secondhand vinyl, thrift-style; 100 THB clearance LP box; hi-fi</t>
  </si>
  <si>
    <t xml:space="preserve">Listed in Time Out Chiang Mai top 11 (c.2025).</t>
  </si>
  <si>
    <t xml:space="preserve">Noomtaofire Record</t>
  </si>
  <si>
    <t xml:space="preserve">62/6 Charoen Prathet Rd, Chang Khlan, Mueang Chiang Mai, Chiang Mai 50100 (upstairs of Lonewanderer clothing store)</t>
  </si>
  <si>
    <t xml:space="preserve">New and secondhand vinyl, all genres; small cafe</t>
  </si>
  <si>
    <t xml:space="preserve">Near the Ping River. Open daily 2pm-7:30pm.</t>
  </si>
  <si>
    <t xml:space="preserve">https://www.timeout.com/chiang-mai/music/noomtaofire-record | https://www.timeout.com/chiang-mai/music/chiang-mais-top-11-places-to-dig-for-vinyl</t>
  </si>
  <si>
    <t xml:space="preserve">Thirty Records</t>
  </si>
  <si>
    <t xml:space="preserve">40 Sanambin Kao 4 Alley, Suthep, Mueang Chiang Mai, Chiang Mai 50200</t>
  </si>
  <si>
    <t xml:space="preserve">Japanese, Thai and Western vinyl; cassettes; hi-fi listening space; budget 3-LP boxes for 100 THB</t>
  </si>
  <si>
    <t xml:space="preserve">Run by Khun Munee, opened early 2023. Open 11am-6pm, closed Wednesdays.</t>
  </si>
  <si>
    <t xml:space="preserve">https://www.timeout.com/chiang-mai/music/thirty-records | https://www.timeout.com/chiang-mai/music/chiang-mais-top-11-places-to-dig-for-vinyl</t>
  </si>
  <si>
    <t xml:space="preserve">Wua Lai Record Shop</t>
  </si>
  <si>
    <t xml:space="preserve">1, 6 Wua Lai Rd, Haiya, Mueang Chiang Mai, Chiang Mai 50100</t>
  </si>
  <si>
    <t xml:space="preserve">Largest record shop in Chiang Mai; used vinyl incl. Thai rarities (floor boxes, white-label station copies); turntables and speakers</t>
  </si>
  <si>
    <t xml:space="preserve">Longest-running vinyl seller in town (10+ years). Open 11am-6pm. Listed in Time Out Chiang Mai top 11 (c.2025).</t>
  </si>
  <si>
    <t xml:space="preserve">https://www.timeout.com/chiang-mai/music/wua-lai-record-shop | https://www.timeout.com/chiang-mai/music/chiang-mais-top-11-places-to-dig-for-vinyl | https://www.timeout.com/chiang-mai/news/inside-chiang-mais-vinyl-revival-080125</t>
  </si>
  <si>
    <t xml:space="preserve">Sabai Vinyl Pattaya</t>
  </si>
  <si>
    <t xml:space="preserve">Pattaya</t>
  </si>
  <si>
    <t xml:space="preserve">2nd floor, MS2021 (near Eiffel Tower and robot statue), Pattaya</t>
  </si>
  <si>
    <t xml:space="preserve">Vinyl records; buys collections</t>
  </si>
  <si>
    <t xml:space="preserve">https://www.instagram.com/sabaivinyl</t>
  </si>
  <si>
    <t xml:space="preserve">Bills itself as Pattaya's number one record store; open daily 11am-10pm.</t>
  </si>
  <si>
    <t xml:space="preserve">https://www.instagram.com/sabaivinyl/</t>
  </si>
  <si>
    <t xml:space="preserve">AnhDuy Audio</t>
  </si>
  <si>
    <t xml:space="preserve">Hanoi</t>
  </si>
  <si>
    <t xml:space="preserve">72 Trần Nhân Tông, Hai Bà Trưng, Hà Nội</t>
  </si>
  <si>
    <t xml:space="preserve">Hi-fi audio shop selling vinyl: Trịnh Công Sơn, Khánh Ly, Bằng Kiều and others; turntables</t>
  </si>
  <si>
    <t xml:space="preserve">https://anhduyaudio.com</t>
  </si>
  <si>
    <t xml:space="preserve">024 3972 5014</t>
  </si>
  <si>
    <t xml:space="preserve">Yellow Pages lists Công ty TNHH Quốc Tế Anh Duy (turntables) at 235 Điện Biên Phủ, Q3, HCMC, tel (028) 22437005. This may be an HCMC branch.</t>
  </si>
  <si>
    <t xml:space="preserve">https://mytour.vn/vi/blog/bai-viet/danh-sach-5-dia-chi-mua-dia-than-chat-luong-va-gia-ca-phai-chang-tai-ha-noi.html | https://yellowpages.vn/pdetail/663822/mâm-đĩa-than.html</t>
  </si>
  <si>
    <t xml:space="preserve">Giang Nhạc Xưa</t>
  </si>
  <si>
    <t xml:space="preserve">33 Trịnh Công Sơn, Nhật Tân, Tây Hồ, Hà Nội</t>
  </si>
  <si>
    <t xml:space="preserve">Vinyl (classic Vietnamese songs, rock e.g. Pink Floyd, Eagles), record players, gramophones, audiophile gear</t>
  </si>
  <si>
    <t xml:space="preserve">https://giangnhacxua.com</t>
  </si>
  <si>
    <t xml:space="preserve">+84 972 113 223</t>
  </si>
  <si>
    <t xml:space="preserve">Culture Trip: long narrow shop in southern Hanoi by the Sét River. Other sources give 377 Trần Đại Nghĩa (Mixmag) / 337 Trần Đại Nghĩa (dientulinhanh.com) - possibly older/another location.</t>
  </si>
  <si>
    <t xml:space="preserve">https://theculturetrip.com/asia/vietnam/articles/best-record-stores-in-hanoi | https://mytour.vn/vi/blog/bai-viet/danh-sach-5-dia-chi-mua-dia-than-chat-luong-va-gia-ca-phai-chang-tai-ha-noi.html | https://tripi.vn/blog/vi/xep-hang/top-5-diem-ban-dia-than-chat-luong-nhat-ha-noi-gia-ca-phai-chang-da-dang-mau-ma-tripi | https://dientulinhanh.com/dia-chi-mua-ban-dia-than-gia-re-chinh-hang-tai-ha-noi</t>
  </si>
  <si>
    <t xml:space="preserve">Hoàng Gia Audio</t>
  </si>
  <si>
    <t xml:space="preserve">Vinyl records and antique/vintage record players</t>
  </si>
  <si>
    <t xml:space="preserve">https://hoanggiaaudio.vn</t>
  </si>
  <si>
    <t xml:space="preserve">+84 975 884 009</t>
  </si>
  <si>
    <t xml:space="preserve">https://hoanggiaaudio.vn/news/dia-chi-ban-dia-than-chinh-hang-o-ha-noi-a332.html</t>
  </si>
  <si>
    <t xml:space="preserve">Hà Nội Đĩa Than (Hanoi Vinyl Records)</t>
  </si>
  <si>
    <t xml:space="preserve">Set up in 2010; long-time meeting spot for Hanoi vinyl fans (Vietcetera 2021). Founded by the father and uncle of a Vọc Records co-founder.</t>
  </si>
  <si>
    <t xml:space="preserve">https://vietcetera.com/en/reintroducing-the-vinyl-culture-to-vietnams-new-generation</t>
  </si>
  <si>
    <t xml:space="preserve">LP Club</t>
  </si>
  <si>
    <t xml:space="preserve">174 Kim Mã, Kim Mã ward, Ba Đình, Hà Nội</t>
  </si>
  <si>
    <t xml:space="preserve">Used + new vinyl, CDs; 2,000+ second-hand records; strong jazz section, rarities and new releases; also music production/distribution</t>
  </si>
  <si>
    <t xml:space="preserve">https://lpclub.vn</t>
  </si>
  <si>
    <t xml:space="preserve">https://www.instagram.com/lpclubhn</t>
  </si>
  <si>
    <t xml:space="preserve">+84 90 454 6883</t>
  </si>
  <si>
    <t xml:space="preserve">Opened 2018 by vinyl enthusiasts. Culture Trip lists it jointly with Vinyl4u (shared space); location description differs between sources. Shares venue with Montauk café/cocktail bar. Instagram: open daily 10:00-20:00.</t>
  </si>
  <si>
    <t xml:space="preserve">https://silverkris.singaporeair.com/guide/vietnam/han/shop-hanoi/lp-club/ | https://theculturetrip.com/asia/vietnam/articles/best-record-stores-in-hanoi | https://hivelife.com/vinyl-stores-vietnam/ | https://www.instagram.com/lpclubhn/ | https://www.saigoneer.com/hanoi-street-food-restaurants/26571-ngõ-nooks-hanoi-lp-club-vinyl-montauk-cocktail-bar-coffee-shop-review</t>
  </si>
  <si>
    <t xml:space="preserve">RUA Vinyl Records</t>
  </si>
  <si>
    <t xml:space="preserve">Distributeur / grossiste</t>
  </si>
  <si>
    <t xml:space="preserve">Wholesale and retail of new and used records in 33, 45 and 78 rpm</t>
  </si>
  <si>
    <t xml:space="preserve">https://www.facebook.com/ruavinyl</t>
  </si>
  <si>
    <t xml:space="preserve">https://www.facebook.com/ruavinyl/</t>
  </si>
  <si>
    <t xml:space="preserve">Thảo Nhạc Xưa</t>
  </si>
  <si>
    <t xml:space="preserve">58 Xã Đàn, Đống Đa, Hà Nội</t>
  </si>
  <si>
    <t xml:space="preserve">Vinyl, reel-to-reel tapes, cassettes, CDs; old music</t>
  </si>
  <si>
    <t xml:space="preserve">https://www.facebook.com/p/TH%E1%BA%A2O-NH%E1%BA%A0C-X%C6%AFA-100063630708271</t>
  </si>
  <si>
    <t xml:space="preserve">+84 98 855 65 54</t>
  </si>
  <si>
    <t xml:space="preserve">https://www.facebook.com/p/TH%E1%BA%A2O-NH%E1%BA%A0C-X%C6%AFA-100063630708271/</t>
  </si>
  <si>
    <t xml:space="preserve">Totem Vinyl - Tiệm Đĩa Than</t>
  </si>
  <si>
    <t xml:space="preserve">2G Hoàng Hoa Thám, Thụy Khuê, Tây Hồ, Hà Nội</t>
  </si>
  <si>
    <t xml:space="preserve">High-grade used vinyl; funk/soul, electronic, jazz, jazz fusion, hip-hop; ~1,000 records; merch, slipmats, cleaning kits</t>
  </si>
  <si>
    <t xml:space="preserve">https://www.instagram.com/totem.vinyl</t>
  </si>
  <si>
    <t xml:space="preserve">https://www.facebook.com/totem.vinyl</t>
  </si>
  <si>
    <t xml:space="preserve">+84 585 732 251</t>
  </si>
  <si>
    <t xml:space="preserve">Co-owner 'Red'. Open 13:00-19:00, closed Mondays (Instagram). ~2,100 IG followers. Listed in 2024 (Travel Weekly) and 2025 (Tripi) guides.</t>
  </si>
  <si>
    <t xml:space="preserve">https://www.facebook.com/totem.vinyl/ | https://www.travelweekly.com.au/article/vietnamese-vinyl-vendors-that-any-music-aficionado-needs-to-visit/ | https://theculturetrip.com/asia/vietnam/articles/best-record-stores-in-hanoi | https://www.instagram.com/totem.vinyl/ | https://tripi.vn/blog/vi/xep-hang/top-5-diem-ban-dia-than-chat-luong-nhat-ha-noi-gia-ca-phai-chang-da-dang-mau-ma-tripi</t>
  </si>
  <si>
    <t xml:space="preserve">Vinyl4u</t>
  </si>
  <si>
    <t xml:space="preserve">Used vinyl; European and Japanese pressings of jazz, blues and classic rock in near-mint condition</t>
  </si>
  <si>
    <t xml:space="preserve">Shares a room with LP Club according to Culture Trip.</t>
  </si>
  <si>
    <t xml:space="preserve">https://theculturetrip.com/asia/vietnam/articles/best-record-stores-in-hanoi</t>
  </si>
  <si>
    <t xml:space="preserve">Vọc Records (VOC Records)</t>
  </si>
  <si>
    <t xml:space="preserve">Số 5, ngõ 198 Thái Hà, Đống Đa, Hà Nội</t>
  </si>
  <si>
    <t xml:space="preserve">Genuine new vinyl; special orders; vinyl label; organiser of Hanoi Records Day | Hi-fi audio dealer selling new vinyl LPs (incl. Vietnamese releases e.g. 'Nhiên')</t>
  </si>
  <si>
    <t xml:space="preserve">https://thienhaaudio.vn</t>
  </si>
  <si>
    <t xml:space="preserve">+84 983 83 46 46</t>
  </si>
  <si>
    <t xml:space="preserve">Founded by four friends; listening counter with turntables. Address/phone shared with Thiên Hà Audio (thienhaaudio.vn). Takes custom orders, home delivery. | Same address/phone as Vọc Records listing; may be the same operator. Mytour lists Vọc Records at this address and phone with this website; the two may share premises or Mytour may have mixed them up.</t>
  </si>
  <si>
    <t xml:space="preserve">https://vietcetera.com/en/reintroducing-the-vinyl-culture-to-vietnams-new-generation | https://saigoneer.com/saigon-music-art/24963-crate-digging-for-audio-gold-at-the-second-hanoi-records-day | https://mytour.vn/vi/blog/bai-viet/danh-sach-5-dia-chi-mua-dia-than-chat-luong-va-gia-ca-phai-chang-tai-ha-noi.html | https://thienhaaudio.vn/san-pham/dia-lp-nhien/</t>
  </si>
  <si>
    <t xml:space="preserve">Điện tử Linh Anh</t>
  </si>
  <si>
    <t xml:space="preserve">99 Hồ Ba Mẫu (Ô Đồng Lầm), Đống Đa, Hà Nội; 117 Phạm Văn Đồng, Mai Dịch, Cầu Giấy, Hà Nội; HCMC branches: 559 Phan Văn Trị, 129 Bình Thới, 151 Nguyễn Duy Dương</t>
  </si>
  <si>
    <t xml:space="preserve">Chaîne / grande enseigne</t>
  </si>
  <si>
    <t xml:space="preserve">Electronics/audio chain selling new sealed vinyl, CDs, USB music plus turntables, speakers, headphones</t>
  </si>
  <si>
    <t xml:space="preserve">https://dientulinhanh.com</t>
  </si>
  <si>
    <t xml:space="preserve">1800 0035 | +84 989 142 688 | +84 946 142 688</t>
  </si>
  <si>
    <t xml:space="preserve">Has dedicated 'Đĩa than - Đĩa CD - USB' category; free delivery/installation in Hanoi &amp; HCMC. Open 8:30-21:00.</t>
  </si>
  <si>
    <t xml:space="preserve">https://dientulinhanh.com/dia-chi-mua-ban-dia-than-gia-re-chinh-hang-tai-ha-noi | https://dientulinhanh.com/dia-than-dia-cd-usb | https://mytour.vn/vi/blog/bai-viet/danh-sach-5-dia-chi-mua-dia-than-chat-luong-va-gia-ca-phai-chang-tai-ha-noi.html</t>
  </si>
  <si>
    <t xml:space="preserve">Đĩa Than - Haytch Vintage Sound</t>
  </si>
  <si>
    <t xml:space="preserve">Vinyl and tapes, vintage sound</t>
  </si>
  <si>
    <t xml:space="preserve">https://www.facebook.com/diathanhanoi</t>
  </si>
  <si>
    <t xml:space="preserve">~822 likes, ~2,542 check-ins on Facebook. Facebook check-ins suggest a physical location, but no address was found. Handle 'diathanhanoi'; not confirmed whether it is linked to Hà Nội Đĩa Than (est. 2010).</t>
  </si>
  <si>
    <t xml:space="preserve">https://www.facebook.com/diathanhanoi/</t>
  </si>
  <si>
    <t xml:space="preserve">Đĩa Than Vintage (Hanoi Vintage Vinyl Shop)</t>
  </si>
  <si>
    <t xml:space="preserve">147 Yên Phụ, Tây Hồ, Hà Nội</t>
  </si>
  <si>
    <t xml:space="preserve">Used vinyl only, 5,000+ albums: pop rock, ballad, jazz, hip hop, electronic, country, easy listening, Japanese jazz; rare records for DJs/beatmakers; Blue Note; 1970s first pressings</t>
  </si>
  <si>
    <t xml:space="preserve">https://www.instagram.com/diathan.vintage</t>
  </si>
  <si>
    <t xml:space="preserve">https://www.facebook.com/diathanvintage</t>
  </si>
  <si>
    <t xml:space="preserve">+84 38 411 1175</t>
  </si>
  <si>
    <t xml:space="preserve">Founded by Hanoi DJ 2T. Open Tue-Sun 9:30-19:00. Offers delivery. Separate online stock account @diathan.vintage.stock on Instagram.</t>
  </si>
  <si>
    <t xml:space="preserve">https://www.facebook.com/diathanvintage/ | https://www.trvlogue.com/en/hanoi-vintage-shops-west-lake | https://hivelife.com/vinyl-stores-vietnam/ | https://www.instagram.com/diathan.vintage/ | https://mytour.vn/vi/blog/bai-viet/danh-sach-5-dia-chi-mua-dia-than-chat-luong-va-gia-ca-phai-chang-tai-ha-noi.html</t>
  </si>
  <si>
    <t xml:space="preserve">Analog Audio</t>
  </si>
  <si>
    <t xml:space="preserve">Ho Chi Minh City</t>
  </si>
  <si>
    <t xml:space="preserve">351/12A Lê Văn Sỹ, Phường 13, Quận 3, TP.HCM</t>
  </si>
  <si>
    <t xml:space="preserve">New vinyl; 80s-90s albums, instrumental classics, international &amp; Vietnamese; audiophile labels (STS Digital, Harmonix, Impex)</t>
  </si>
  <si>
    <t xml:space="preserve">https://analogaudio.vn</t>
  </si>
  <si>
    <t xml:space="preserve">Forum users recommend 'Analog Lê Văn Sỹ' (2021).</t>
  </si>
  <si>
    <t xml:space="preserve">https://hivelife.com/vinyl-stores-vietnam/ | https://vnav.vn/threads/s%C3%A0i-g%C3%B2n-mua-%C4%91%C4%A9a-than-%E1%BB%9F-%C4%91%C3%A2u.117891/</t>
  </si>
  <si>
    <t xml:space="preserve">Audio Space</t>
  </si>
  <si>
    <t xml:space="preserve">Distributor that has released many Vietnamese vinyl albums</t>
  </si>
  <si>
    <t xml:space="preserve">Vietnam News calls it a leading HCMC distributor of Vietnamese vinyl albums. Unclear whether it sells retail.</t>
  </si>
  <si>
    <t xml:space="preserve">https://vietnamnews.vn/life-style/518863/vinyl-records-make-a-comeback-with-new-albums.html</t>
  </si>
  <si>
    <t xml:space="preserve">Bluish Records</t>
  </si>
  <si>
    <t xml:space="preserve">158/10 Nguyễn Công Trứ, Quận 1, TP.HCM (Biker Shield Bistro; from a 2024 event listing)</t>
  </si>
  <si>
    <t xml:space="preserve">Vinyl records; hosts vinyl record day events</t>
  </si>
  <si>
    <t xml:space="preserve">Vinyl Record Day event 6-7 July 2024 at Biker Shield Bistro, 158/10 Nguyễn Công Trứ, Q1. Address comes from the event venue; check that the shop is based there.</t>
  </si>
  <si>
    <t xml:space="preserve">https://saigoneer.com/saigon-events/27157-vinyl-record-day-bluish-records</t>
  </si>
  <si>
    <t xml:space="preserve">CD – Bản ghi (Vinyl) Trường Chinh</t>
  </si>
  <si>
    <t xml:space="preserve">180 Trường Chinh, Tân Bình, TP.HCM</t>
  </si>
  <si>
    <t xml:space="preserve">CDs and vinyl records</t>
  </si>
  <si>
    <t xml:space="preserve">+84 909 375 959</t>
  </si>
  <si>
    <t xml:space="preserve">Name as given in the HCMtoplist listing; the trading name is unclear.</t>
  </si>
  <si>
    <t xml:space="preserve">https://www.hcmtoplist.com/top-20-dia-chi-ban-dia-cd-goc-tai-tphcm-gia-re-va-chat-luong</t>
  </si>
  <si>
    <t xml:space="preserve">Có Gì Bán Đó Sài Gòn</t>
  </si>
  <si>
    <t xml:space="preserve">48 Trần Quang Diệu, Phường 14, Quận 3, TP.HCM</t>
  </si>
  <si>
    <t xml:space="preserve">US turntables (Crosley, Victrola) plus domestic and international vinyl</t>
  </si>
  <si>
    <t xml:space="preserve">+84 937 809 193</t>
  </si>
  <si>
    <t xml:space="preserve">https://www.hcmtoplist.com/top-5-dia-chi-ban-dia-than-o-sai-gon-uy-tin-chat-luong</t>
  </si>
  <si>
    <t xml:space="preserve">Cửa Hàng Đĩa Than LP Vinyl</t>
  </si>
  <si>
    <t xml:space="preserve">313/56 Tỉnh lộ 10, An Lạc A, Bình Tân, TP.HCM</t>
  </si>
  <si>
    <t xml:space="preserve">Vinyl LPs, CDs, cassettes, tapes, accessories</t>
  </si>
  <si>
    <t xml:space="preserve">https://www.facebook.com/cuahangbandiathanlpvinyl</t>
  </si>
  <si>
    <t xml:space="preserve">https://www.facebook.com/cuahangbandiathanlpvinyl/</t>
  </si>
  <si>
    <t xml:space="preserve">Damn Shop</t>
  </si>
  <si>
    <t xml:space="preserve">Skate/streetwear shop with small vinyl section; 90s rap and hip-hop 7-inches</t>
  </si>
  <si>
    <t xml:space="preserve">https://www.travelweekly.com.au/article/vietnamese-vinyl-vendors-that-any-music-aficionado-needs-to-visit/</t>
  </si>
  <si>
    <t xml:space="preserve">Hãng Đĩa Thời Đại (Times Records)</t>
  </si>
  <si>
    <t xml:space="preserve">6 Nguyễn Văn Nguyễn, Tân Định, Quận 1, TP.HCM</t>
  </si>
  <si>
    <t xml:space="preserve">Indie label + shop; new vinyl, CDs, cassettes; Vietnamese releases plus imported pop, rock, alternative, jazz, oldies</t>
  </si>
  <si>
    <t xml:space="preserve">https://store.hangdiathoidai.com</t>
  </si>
  <si>
    <t xml:space="preserve">https://www.facebook.com/hangdiathoidai</t>
  </si>
  <si>
    <t xml:space="preserve">+84 90 308 80 38</t>
  </si>
  <si>
    <t xml:space="preserve">Independent label founded 2017 preserving analog music. An older forum comment says repeated calls went unanswered, so check before visiting. hangdiathoidai.com presents it as a label.</t>
  </si>
  <si>
    <t xml:space="preserve">https://hivelife.com/vinyl-stores-vietnam/ | https://www.facebook.com/hangdiathoidai/ | https://www.hcmtoplist.com/top-5-dia-chi-ban-dia-than-o-sai-gon-uy-tin-chat-luong | https://vnav.vn/threads/s%C3%A0i-g%C3%B2n-mua-%C4%91%C4%A9a-than-%E1%BB%9F-%C4%91%C3%A2u.117891/ | https://www.hangdiathoidai.com/about</t>
  </si>
  <si>
    <t xml:space="preserve">Nhật Duy (băng đĩa gốc)</t>
  </si>
  <si>
    <t xml:space="preserve">18/75/1 Trần Quang Diệu, Quận 3, TP.HCM</t>
  </si>
  <si>
    <t xml:space="preserve">Original CDs, DVDs and vinyl; packaging and nationwide distribution</t>
  </si>
  <si>
    <t xml:space="preserve">+84 378 899 877</t>
  </si>
  <si>
    <t xml:space="preserve">Also offers packaging and nationwide distribution of discs.</t>
  </si>
  <si>
    <t xml:space="preserve">Saigon Vinyl Records</t>
  </si>
  <si>
    <t xml:space="preserve">En ligne (site web)</t>
  </si>
  <si>
    <t xml:space="preserve">Imported international vinyl, mint-condition LPs</t>
  </si>
  <si>
    <t xml:space="preserve">https://saigonvinylrecords.com</t>
  </si>
  <si>
    <t xml:space="preserve">https://www.instagram.com/saigon_vinyl_records</t>
  </si>
  <si>
    <t xml:space="preserve">https://www.facebook.com/saigonvinylrecords</t>
  </si>
  <si>
    <t xml:space="preserve">https://hivelife.com/vinyl-stores-vietnam/ | https://www.facebook.com/saigonvinylrecords/ | https://www.instagram.com/saigon_vinyl_records/</t>
  </si>
  <si>
    <t xml:space="preserve">Sturmfrei Records</t>
  </si>
  <si>
    <t xml:space="preserve">Listed with Bluish Records and District M on a Saigoneer vinyl record day event page. No other details found.</t>
  </si>
  <si>
    <t xml:space="preserve">Tiệm Sài Gòn Đĩa Than</t>
  </si>
  <si>
    <t xml:space="preserve">226B Nguyễn Văn Đậu, Phường 11, Bình Thạnh, TP.HCM</t>
  </si>
  <si>
    <t xml:space="preserve">Vinyl, turntables and turntable accessories</t>
  </si>
  <si>
    <t xml:space="preserve">https://www.facebook.com/cafesaigondiathan</t>
  </si>
  <si>
    <t xml:space="preserve">+84 93 804 59 11</t>
  </si>
  <si>
    <t xml:space="preserve">Forum users mention a café on Nguyễn Văn Đậu selling records (likely same).</t>
  </si>
  <si>
    <t xml:space="preserve">https://www.facebook.com/cafesaigondiathan/ | https://vnav.vn/threads/s%C3%A0i-g%C3%B2n-mua-%C4%91%C4%A9a-than-%E1%BB%9F-%C4%91%C3%A2u.117891/</t>
  </si>
  <si>
    <t xml:space="preserve">Vina Groove</t>
  </si>
  <si>
    <t xml:space="preserve">Pasteur Street, Quận 1, TP.HCM (shares space with Ronin Izakaya)</t>
  </si>
  <si>
    <t xml:space="preserve">Used vinyl, 2,000+ records; funk, rock, jazz, fusion, hip hop, reggae, Japanese music</t>
  </si>
  <si>
    <t xml:space="preserve">https://vinagroove.com</t>
  </si>
  <si>
    <t xml:space="preserve">https://www.instagram.com/vinagroove.records</t>
  </si>
  <si>
    <t xml:space="preserve">https://www.facebook.com/vinagroove.records</t>
  </si>
  <si>
    <t xml:space="preserve">Run by Francois, long-term French resident. Open 13:00-20:00, closed Mondays. Earlier location had beer garden. Instagram (later): open ~16:00-21:00, closed Thu &amp; Fri; no online sales, in-store digging only. Featured in a Travel Weekly guide from about early 2024.</t>
  </si>
  <si>
    <t xml:space="preserve">https://www.facebook.com/vinagroove.records/ | https://www.travelweekly.com.au/article/vietnamese-vinyl-vendors-that-any-music-aficionado-needs-to-visit/ | https://www.instagram.com/vinagroove.records/</t>
  </si>
  <si>
    <t xml:space="preserve">Vinyl Sài Gòn</t>
  </si>
  <si>
    <t xml:space="preserve">6B Đinh Bộ Lĩnh, Bình Thạnh, TP.HCM</t>
  </si>
  <si>
    <t xml:space="preserve">Vinyl records plus turntables, hi-fi/analog/studio audio equipment, speakers, cables</t>
  </si>
  <si>
    <t xml:space="preserve">https://vinylsaigon.vn</t>
  </si>
  <si>
    <t xml:space="preserve">https://www.instagram.com/vinylsaigon</t>
  </si>
  <si>
    <t xml:space="preserve">https://www.facebook.com/VinylSaiGon</t>
  </si>
  <si>
    <t xml:space="preserve">+84 937 738 343 | +84 977 043 608 | 028 3535 5377</t>
  </si>
  <si>
    <t xml:space="preserve">Open Mon-Sat 8:30-20:00, Sun 8:30-19:00; same-day delivery in HCMC. Live website with a vinyl category (vinylsaigon.vn/products/category/dia-than).</t>
  </si>
  <si>
    <t xml:space="preserve">https://www.facebook.com/VinylSaiGon/ | https://www.instagram.com/vinylsaigon/ | https://vinylsaigon.vn/products/category/dia-than | https://www.hcmtoplist.com/top-5-dia-chi-ban-dia-than-o-sai-gon-uy-tin-chat-luong</t>
  </si>
  <si>
    <t xml:space="preserve">Vinyl Việt</t>
  </si>
  <si>
    <t xml:space="preserve">112 Bắc Hải, Phường 6, Tân Bình, TP.HCM</t>
  </si>
  <si>
    <t xml:space="preserve">Brand-new sealed vinyl</t>
  </si>
  <si>
    <t xml:space="preserve">https://vinyl.vn</t>
  </si>
  <si>
    <t xml:space="preserve">https://www.instagram.com/vinylviet</t>
  </si>
  <si>
    <t xml:space="preserve">https://www.facebook.com/vinylviet</t>
  </si>
  <si>
    <t xml:space="preserve">Instagram bio: open daily 9:00-20:00.</t>
  </si>
  <si>
    <t xml:space="preserve">https://www.facebook.com/vinylviet/ | https://www.instagram.com/vinylviet/</t>
  </si>
  <si>
    <t xml:space="preserve">Vũ Dương (CD - VCD - đĩa than)</t>
  </si>
  <si>
    <t xml:space="preserve">186 F-E-D Phan Văn Trị, Bình Thạnh, TP.HCM</t>
  </si>
  <si>
    <t xml:space="preserve">Cheap CDs, VCDs and vinyl for older players</t>
  </si>
  <si>
    <t xml:space="preserve">028 6297 5209</t>
  </si>
  <si>
    <t xml:space="preserve">Mainly CDs/VCDs. The vinyl range is unclear, so check its size.</t>
  </si>
  <si>
    <t xml:space="preserve">Đĩa Than 51 Sài Gòn</t>
  </si>
  <si>
    <t xml:space="preserve">148 Nguyễn Hậu, Tân Phú, TP.HCM</t>
  </si>
  <si>
    <t xml:space="preserve">New and used vinyl (Vietnamese &amp; international), CDs, cassettes; folk, world, country; vinyl listening café</t>
  </si>
  <si>
    <t xml:space="preserve">https://vinylrecord51.com</t>
  </si>
  <si>
    <t xml:space="preserve">https://www.facebook.com/DiaThan51SaiGon</t>
  </si>
  <si>
    <t xml:space="preserve">+84 97 926 18 37 | +84 949 734 584</t>
  </si>
  <si>
    <t xml:space="preserve">https://www.facebook.com/DiaThan51SaiGon/ | https://vinylrecord51.com/ | https://www.hotdeal.vn/ho-chi-minh/cafe-vn/ca-phe-dia-than-51-sai-gon-noi-ky-uc-tim-ve-369556.html</t>
  </si>
  <si>
    <t xml:space="preserve">Đĩa Than Mua Ở Đây</t>
  </si>
  <si>
    <t xml:space="preserve">Vietnamese music, jazz, pop, rock vinyl incl. original historical pressings</t>
  </si>
  <si>
    <t xml:space="preserve">https://diathanmuaoday.com</t>
  </si>
  <si>
    <t xml:space="preserve">+84 902 984 264</t>
  </si>
  <si>
    <t xml:space="preserve">Same street address as Đĩa Than 51 Sài Gòn; possibly related.</t>
  </si>
  <si>
    <t xml:space="preserve">Audio.vn</t>
  </si>
  <si>
    <t xml:space="preserve">Nationwide (online)</t>
  </si>
  <si>
    <t xml:space="preserve">Audio retailer with a dedicated vinyl (đĩa than) and original CD category</t>
  </si>
  <si>
    <t xml:space="preserve">https://audio.vn/product-category/danh-muc-san-pham/dia-than</t>
  </si>
  <si>
    <t xml:space="preserve">Category title targets Hanoi, Saigon, Hai Phong and Da Nang buyers; ships nationwide.</t>
  </si>
  <si>
    <t xml:space="preserve">Manila Record Club (Discogs seller)</t>
  </si>
  <si>
    <t xml:space="preserve">Vendeur marketplace</t>
  </si>
  <si>
    <t xml:space="preserve">Vinyl incl. many 7-inch/45 RPM singles</t>
  </si>
  <si>
    <t xml:space="preserve">Discogs: https://www.discogs.com/seller/manilarecordclub/profile</t>
  </si>
  <si>
    <t xml:space="preserve">Discogs seller located in the Philippines; 99.3% rating from 141 ratings.</t>
  </si>
  <si>
    <t xml:space="preserve">https://www.discogs.com/seller/manilarecordclub/profile?format=Vinyl</t>
  </si>
  <si>
    <t xml:space="preserve">Plakada</t>
  </si>
  <si>
    <t xml:space="preserve">Sealed vinyl albums, record players, complete audio setups</t>
  </si>
  <si>
    <t xml:space="preserve">https://www.instagram.com/plakadaph</t>
  </si>
  <si>
    <t xml:space="preserve">Orders via Instagram DM.</t>
  </si>
  <si>
    <t xml:space="preserve">https://www.instagram.com/plakadaph/</t>
  </si>
  <si>
    <t xml:space="preserve">vivalahvinyls (Discogs seller)</t>
  </si>
  <si>
    <t xml:space="preserve">Discogs: https://www.discogs.com/seller/vivalahvinyls/profile</t>
  </si>
  <si>
    <t xml:space="preserve">Discogs seller shipping from the Philippines; 100% rating from 94 ratings.</t>
  </si>
  <si>
    <t xml:space="preserve">https://www.discogs.com/seller/vivalahvinyls/profile</t>
  </si>
  <si>
    <t xml:space="preserve">Sunny Day Records</t>
  </si>
  <si>
    <t xml:space="preserve">Bacolod</t>
  </si>
  <si>
    <t xml:space="preserve">https://www.instagram.com/sunnydayrecords</t>
  </si>
  <si>
    <t xml:space="preserve">Independent record store in Bacolod City.</t>
  </si>
  <si>
    <t xml:space="preserve">https://www.instagram.com/sunnydayrecords/</t>
  </si>
  <si>
    <t xml:space="preserve">Frankie Records</t>
  </si>
  <si>
    <t xml:space="preserve">Baguio</t>
  </si>
  <si>
    <t xml:space="preserve">Goshenland Towers, Upper Gen. Luna Rd., Baguio City</t>
  </si>
  <si>
    <t xml:space="preserve">Records, CDs and tapes</t>
  </si>
  <si>
    <t xml:space="preserve">https://www.instagram.com/hellofrankierecords</t>
  </si>
  <si>
    <t xml:space="preserve">Mon-Sat 11:30AM-5PM; linked account @tokyo_musicclub (ships CDs nationwide).</t>
  </si>
  <si>
    <t xml:space="preserve">https://www.instagram.com/hellofrankierecords/ | https://www.instagram.com/tokyo_musicclub/</t>
  </si>
  <si>
    <t xml:space="preserve">Plakafé</t>
  </si>
  <si>
    <t xml:space="preserve">Vinyl records in a café serving Filipino comfort food; live music on weekends</t>
  </si>
  <si>
    <t xml:space="preserve">Named by The Vinyl City FB page as its Baguio outlet.</t>
  </si>
  <si>
    <t xml:space="preserve">https://wanderlog.com/place/details/1483770/plakafé | https://www.facebook.com/TheVinylCity/</t>
  </si>
  <si>
    <t xml:space="preserve">The Vinyl City</t>
  </si>
  <si>
    <t xml:space="preserve">Baguio / Cagayan de Oro</t>
  </si>
  <si>
    <t xml:space="preserve">https://www.facebook.com/TheVinylCity</t>
  </si>
  <si>
    <t xml:space="preserve">FB listing points to outlets in Baguio and Cagayan de Oro. FB page directs buyers to Plakafé (Baguio) and Megadisc Play (Cagayan de Oro) or to an online list.</t>
  </si>
  <si>
    <t xml:space="preserve">https://www.facebook.com/TheVinylCity/</t>
  </si>
  <si>
    <t xml:space="preserve">Megadisc Play</t>
  </si>
  <si>
    <t xml:space="preserve">Cagayan de Oro</t>
  </si>
  <si>
    <t xml:space="preserve">Vinyl records (outlet for The Vinyl City stock)</t>
  </si>
  <si>
    <t xml:space="preserve">Named by The Vinyl City FB page as its Cagayan de Oro outlet; no other details found.</t>
  </si>
  <si>
    <t xml:space="preserve">Little Rituals Records Cebu</t>
  </si>
  <si>
    <t xml:space="preserve">Cebu City</t>
  </si>
  <si>
    <t xml:space="preserve">2F The Maze, Ayala Center Cebu, Cebu City</t>
  </si>
  <si>
    <t xml:space="preserve">Vinyl incl. OPM; lifestyle brand (est. 2016)</t>
  </si>
  <si>
    <t xml:space="preserve">https://www.facebook.com/littleritualscebu</t>
  </si>
  <si>
    <t xml:space="preserve">+63 927 208 0806</t>
  </si>
  <si>
    <t xml:space="preserve">Joined vinyl session/bazaar at Ayala Activity Center.</t>
  </si>
  <si>
    <t xml:space="preserve">https://nivessa.com/record-stores/philippines/central-visayas/cebu-city | https://www.facebook.com/littleritualscebu/ | https://www.facebook.com/PavementRecordsCebu/videos/opm-vinyl-records-available-at-ayala-center-cebu-maze-zone-little-rituals-/2060756574180873/</t>
  </si>
  <si>
    <t xml:space="preserve">Melt Records</t>
  </si>
  <si>
    <t xml:space="preserve">Indie label releasing limited colored vinyl (e.g., with Transfer of Power Records)</t>
  </si>
  <si>
    <t xml:space="preserve">https://www.facebook.com/meltrecordsph</t>
  </si>
  <si>
    <t xml:space="preserve">Independent record label in Cebu City selling own vinyl releases.</t>
  </si>
  <si>
    <t xml:space="preserve">https://www.facebook.com/meltrecordsph/</t>
  </si>
  <si>
    <t xml:space="preserve">Pavement Records Cebu</t>
  </si>
  <si>
    <t xml:space="preserve">2F J-Block Building, Apitong St., Cebu City (landmark: Red House Taiwan)</t>
  </si>
  <si>
    <t xml:space="preserve">Vinyl, turntables and analog gear; listening bar with themed vinyl nights</t>
  </si>
  <si>
    <t xml:space="preserve">https://www.instagram.com/pavementrecordscebu</t>
  </si>
  <si>
    <t xml:space="preserve">https://www.facebook.com/PavementRecordsCebu</t>
  </si>
  <si>
    <t xml:space="preserve">0968 856 9726</t>
  </si>
  <si>
    <t xml:space="preserve">Since 2015; Mon-Sat 5PM-2AM.</t>
  </si>
  <si>
    <t xml:space="preserve">https://www.instagram.com/pavementrecordscebu/ | https://www.facebook.com/PavementRecordsCebu/</t>
  </si>
  <si>
    <t xml:space="preserve">Quiet Revolutions</t>
  </si>
  <si>
    <t xml:space="preserve">The Gallery, Kasambagan, Cebu City</t>
  </si>
  <si>
    <t xml:space="preserve">Vinyl listening booths (from PHP350 incl. coffee), records sold on site, food and cocktails</t>
  </si>
  <si>
    <t xml:space="preserve">Listening bar; hours reported 2-10PM.</t>
  </si>
  <si>
    <t xml:space="preserve">https://www.tiktok.com/discover/vinyl-cafe-cebu-menu | https://www.tiktok.com/discover/listening-cafe-vinyl</t>
  </si>
  <si>
    <t xml:space="preserve">Unity Coffee &amp; Vinyl</t>
  </si>
  <si>
    <t xml:space="preserve">Don Jose Avila St., near CDUH, Cebu City</t>
  </si>
  <si>
    <t xml:space="preserve">Café with sizeable stock of vinyl records for sale</t>
  </si>
  <si>
    <t xml:space="preserve">Newer breakfast/coffee spot; upstairs space for small events; hours reported 7/10AM-11PM.</t>
  </si>
  <si>
    <t xml:space="preserve">https://www.tiktok.com/discover/vinyl-cafe-cebu-menu</t>
  </si>
  <si>
    <t xml:space="preserve">Dabawenyo CDs &amp; Vinyl Records</t>
  </si>
  <si>
    <t xml:space="preserve">Davao City</t>
  </si>
  <si>
    <t xml:space="preserve">Vinyl and CDs for collectors</t>
  </si>
  <si>
    <t xml:space="preserve">https://www.facebook.com/DabawenyoVinyl</t>
  </si>
  <si>
    <t xml:space="preserve">Online music shop (Davao-based per name; no street address shown).</t>
  </si>
  <si>
    <t xml:space="preserve">https://www.facebook.com/DabawenyoVinyl/</t>
  </si>
  <si>
    <t xml:space="preserve">Taurus Records and Vintage Collectibles</t>
  </si>
  <si>
    <t xml:space="preserve">12 Taurus St., GSIS Heights, Matina, Davao City</t>
  </si>
  <si>
    <t xml:space="preserve">Vinyl records and vintage collectibles; vinyl DJ sets</t>
  </si>
  <si>
    <t xml:space="preserve">https://www.facebook.com/taurusrecordstore</t>
  </si>
  <si>
    <t xml:space="preserve">+63 922 849 7382</t>
  </si>
  <si>
    <t xml:space="preserve">Bills itself as Davao City's first brick-and-mortar vinyl store; promoted vinyl DJ sets at a 2025 pop culture event.</t>
  </si>
  <si>
    <t xml:space="preserve">https://www.facebook.com/taurusrecordstore/</t>
  </si>
  <si>
    <t xml:space="preserve">Anthology</t>
  </si>
  <si>
    <t xml:space="preserve">Iloilo City</t>
  </si>
  <si>
    <t xml:space="preserve">Block 1, Lot 13, Ledesco Village, Iloilo City</t>
  </si>
  <si>
    <t xml:space="preserve">New vinyl releases (pop, R&amp;B, indie), e.g. SZA SOS Deluxe 4LP</t>
  </si>
  <si>
    <t xml:space="preserve">https://anthology-vinyl.com</t>
  </si>
  <si>
    <t xml:space="preserve">https://www.instagram.com/anthology.ilo</t>
  </si>
  <si>
    <t xml:space="preserve">https://www.facebook.com/anthology.ilo</t>
  </si>
  <si>
    <t xml:space="preserve">anthology.ilo@gmail.com</t>
  </si>
  <si>
    <t xml:space="preserve">Ships nationwide; in-stock list via link; ~6,900 IG followers; posts feature 2025 releases.</t>
  </si>
  <si>
    <t xml:space="preserve">https://www.facebook.com/anthology.ilo/ | https://www.instagram.com/anthology.ilo/</t>
  </si>
  <si>
    <t xml:space="preserve">Prothrowbacks Records Vinyl LP's and 45's</t>
  </si>
  <si>
    <t xml:space="preserve">Mabalacat (Pampanga)</t>
  </si>
  <si>
    <t xml:space="preserve">Vintage collectible LPs, 45s and turntables</t>
  </si>
  <si>
    <t xml:space="preserve">https://www.facebook.com/vinylrecordsstore</t>
  </si>
  <si>
    <t xml:space="preserve">FB page ~1,458 likes, with check-ins; located in Mabalacat, Pampanga (next to Angeles City).</t>
  </si>
  <si>
    <t xml:space="preserve">https://www.facebook.com/vinylrecordsstore/</t>
  </si>
  <si>
    <t xml:space="preserve">Bebop Records</t>
  </si>
  <si>
    <t xml:space="preserve">Makati</t>
  </si>
  <si>
    <t xml:space="preserve">B1 Makati Central Square (Cinema Square), Chino Roces Ave. cor. Arnaiz Ave., Makati City</t>
  </si>
  <si>
    <t xml:space="preserve">Used/vintage vinyl; rare OPM classics, foreign metal and rock</t>
  </si>
  <si>
    <t xml:space="preserve">Long-running Makati shop (mentioned in Discogs forum 10+ years ago); hours Mon-Sat 12:30-7PM per Bandwagon; Lifestyle Asia says no online channels.</t>
  </si>
  <si>
    <t xml:space="preserve">https://www.bandwagon.asia/articles/list-record-stores-in-manila-philippines-vinyl-shopping | https://lifestyleasia-onemega.com/arts-and-culture/7-places-to-buy-vinyl-records-in-manila/ | https://www.discogs.com/forum/thread/714753</t>
  </si>
  <si>
    <t xml:space="preserve">Hodge Podge</t>
  </si>
  <si>
    <t xml:space="preserve">San Agustin St., Legazpi Village, Makati City</t>
  </si>
  <si>
    <t xml:space="preserve">Record shop with vinyl listening space; coffee (free coffee with PHP250 purchase)</t>
  </si>
  <si>
    <t xml:space="preserve">Seen on TikTok during soft opening (3-10PM hours at the time).</t>
  </si>
  <si>
    <t xml:space="preserve">https://www.tiktok.com/discover/vinyl-cafe-philippines | https://www.tiktok.com/discover/listening-cafe-vinyl</t>
  </si>
  <si>
    <t xml:space="preserve">Mutilated Noise</t>
  </si>
  <si>
    <t xml:space="preserve">Makati City</t>
  </si>
  <si>
    <t xml:space="preserve">Punk, hardcore; occasional secondhand original pressings of rare 80s/90s releases</t>
  </si>
  <si>
    <t xml:space="preserve">Punk label that also runs a store; contact via Facebook messaging per Bandwagon.</t>
  </si>
  <si>
    <t xml:space="preserve">https://www.bandwagon.asia/articles/list-record-stores-in-manila-philippines-vinyl-shopping | https://news.abs-cbn.com/life/03/22/21/your-guide-to-hunting-for-vinyl-records-in-metro-manila</t>
  </si>
  <si>
    <t xml:space="preserve">PlakaPlanet</t>
  </si>
  <si>
    <t xml:space="preserve">Makati City (Wanderlog lists it as 'PlakaPlanet MCS', likely Makati Central Square)</t>
  </si>
  <si>
    <t xml:space="preserve">New and vintage vinyl; strong Japanese section, OPM crates, bargain bin for beginners</t>
  </si>
  <si>
    <t xml:space="preserve">https://www.instagram.com/plakaplanet</t>
  </si>
  <si>
    <t xml:space="preserve">https://www.facebook.com/PlakaPlanetMakati</t>
  </si>
  <si>
    <t xml:space="preserve">09332385993</t>
  </si>
  <si>
    <t xml:space="preserve">Open daily 10:30AM-6:30PM; ships nationwide. Wanderlog listing (~late 2024) ranks it among Manila specialty shops.</t>
  </si>
  <si>
    <t xml:space="preserve">https://www.instagram.com/plakaplanet/ | https://www.facebook.com/PlakaPlanetMakati/ | https://wanderlog.com/list/geoCategory/756178/best-gift-and-souvenir-shops-speciality-and-artisan-stores-in-manila</t>
  </si>
  <si>
    <t xml:space="preserve">Play Record Stop</t>
  </si>
  <si>
    <t xml:space="preserve">4963 Guerrero St., Makati City</t>
  </si>
  <si>
    <t xml:space="preserve">Vinyl plus turntables and DJ mixers</t>
  </si>
  <si>
    <t xml:space="preserve">Visits by appointment; pickup and delivery orders; weekdays 1-6PM.</t>
  </si>
  <si>
    <t xml:space="preserve">https://thesmartlocal.ph/?p=10840 | https://www.gmanetwork.com/entertainment/showbiznews/record-shops-for-vinyl-collectors-to-visit-in-metro-manila/70384/</t>
  </si>
  <si>
    <t xml:space="preserve">Spindle Community Store (Spindle Hole)</t>
  </si>
  <si>
    <t xml:space="preserve">Creekside Mall, Amorsolo St., Legazpi Village, Makati City</t>
  </si>
  <si>
    <t xml:space="preserve">Pre-owned and new vinyl, turntables, collectibles (Funko Pops)</t>
  </si>
  <si>
    <t xml:space="preserve">Listed by Lifestyle Asia as Spindle Community Store; Crown Asia/ABS-CBN mention Spindle Hole (likely same business).</t>
  </si>
  <si>
    <t xml:space="preserve">https://lifestyleasia-onemega.com/arts-and-culture/7-places-to-buy-vinyl-records-in-manila/ | https://www.crownasia.com.ph/lifestyle-blog/turn-back-the-hands-of-time-best-places-to-buy-vinyl-records-in-the-philippines/ | https://news.abs-cbn.com/life/03/22/21/your-guide-to-hunting-for-vinyl-records-in-metro-manila</t>
  </si>
  <si>
    <t xml:space="preserve">ThisisPop! Records</t>
  </si>
  <si>
    <t xml:space="preserve">Legaspi Towers 100, Legaspi Village, Makati City</t>
  </si>
  <si>
    <t xml:space="preserve">Indie and obscure international acts, city pop, disco; Record Store Day releases</t>
  </si>
  <si>
    <t xml:space="preserve">Record store linked to Toti Dalmacion (founder of Terno Recordings). Described on TikTok as a hidden record store in Legazpi Village.</t>
  </si>
  <si>
    <t xml:space="preserve">https://bandwagon.asia/articles/a-record-store-for-the-discerning-record-collector-thisispop-opens-today | https://news.abs-cbn.com/life/03/22/21/your-guide-to-hunting-for-vinyl-records-in-metro-manila | https://www.crownasia.com.ph/lifestyle-blog/turn-back-the-hands-of-time-best-places-to-buy-vinyl-records-in-the-philippines/ | https://www.tiktok.com/discover/vinyl-cafe-philippines</t>
  </si>
  <si>
    <t xml:space="preserve">Backspacer Records</t>
  </si>
  <si>
    <t xml:space="preserve">Mandaluyong</t>
  </si>
  <si>
    <t xml:space="preserve">Flair Towers, Reliance cor. Pines St., Mandaluyong City; 2F D'Ace Plaza, Kapitolyo, Pasig City</t>
  </si>
  <si>
    <t xml:space="preserve">New vinyl; own limited-edition OPM pressings/collabs (Hey June!, Lola Amour, Kitchie Nadal); box sets; Record Store Day releases</t>
  </si>
  <si>
    <t xml:space="preserve">Store and local label/distributor of OPM vinyl pressings; two shops (Mandaluyong and Kapitolyo, Pasig). Also acts as a label producing limited-edition OPM vinyl.</t>
  </si>
  <si>
    <t xml:space="preserve">https://www.bandwagon.asia/articles/list-record-stores-in-manila-philippines-vinyl-shopping | https://lifestyleasia-onemega.com/arts-and-culture/7-places-to-buy-vinyl-records-in-manila/ | https://news.abs-cbn.com/life/03/22/21/your-guide-to-hunting-for-vinyl-records-in-metro-manila</t>
  </si>
  <si>
    <t xml:space="preserve">Satchmi</t>
  </si>
  <si>
    <t xml:space="preserve">4F Mega Fashion Hall, SM Megamall, Mandaluyong City (other branches incl. UP Town Center, Quezon City)</t>
  </si>
  <si>
    <t xml:space="preserve">New vinyl, own Motorino turntables, audio accessories; coffee and pastries; Record Store Day releases</t>
  </si>
  <si>
    <t xml:space="preserve">Multi-branch vinyl/lifestyle retailer; reported as first PH store on official RSD roster (2018).</t>
  </si>
  <si>
    <t xml:space="preserve">https://www.crownasia.com.ph/lifestyle-blog/turn-back-the-hands-of-time-best-places-to-buy-vinyl-records-in-the-philippines/ | https://www.gmanetwork.com/entertainment/showbiznews/record-shops-for-vinyl-collectors-to-visit-in-metro-manila/70384/ | https://bandwagon.asia/articles/satchmi-record-store-day-2018</t>
  </si>
  <si>
    <t xml:space="preserve">The Listening Room</t>
  </si>
  <si>
    <t xml:space="preserve">Level 3, Building B, SM Megamall, Mandaluyong City</t>
  </si>
  <si>
    <t xml:space="preserve">New and secondhand vinyl (Beatles drawer), turntables and record-care supplies</t>
  </si>
  <si>
    <t xml:space="preserve">Mall record shop; open daily 10AM-9PM per Lifestyle Asia.</t>
  </si>
  <si>
    <t xml:space="preserve">https://lifestyleasia-onemega.com/arts-and-culture/7-places-to-buy-vinyl-records-in-manila/ | https://news.abs-cbn.com/life/03/22/21/your-guide-to-hunting-for-vinyl-records-in-metro-manila</t>
  </si>
  <si>
    <t xml:space="preserve">The Vinyl Cafe PH</t>
  </si>
  <si>
    <t xml:space="preserve">https://www.facebook.com/vinylcafePH</t>
  </si>
  <si>
    <t xml:space="preserve">Online-only seller based in Mandaluyong.</t>
  </si>
  <si>
    <t xml:space="preserve">https://www.facebook.com/vinylcafePH/</t>
  </si>
  <si>
    <t xml:space="preserve">Treskul Records &amp; Cafe Bar</t>
  </si>
  <si>
    <t xml:space="preserve">CIFRA Building, 641 Boni Avenue, Mandaluyong City; 2nd branch at Ali X, 2F Ali Mall, Cubao, Quezon City</t>
  </si>
  <si>
    <t xml:space="preserve">New and used vinyl across many genres, curated by DJ-owner Arbie Won; café-bar</t>
  </si>
  <si>
    <t xml:space="preserve">https://www.instagram.com/treskulrecords</t>
  </si>
  <si>
    <t xml:space="preserve">Record store + café bar ('sip, dig, listen'); two locations (Mandaluyong and Ali Mall Cubao). Serves food and beer (tapsilog, nachos).</t>
  </si>
  <si>
    <t xml:space="preserve">https://www.bandwagon.asia/articles/list-record-stores-in-manila-philippines-vinyl-shopping | https://www.gmanetwork.com/entertainment/showbiznews/record-shops-for-vinyl-collectors-to-visit-in-metro-manila/70384/ | https://www.instagram.com/treskulrecords/</t>
  </si>
  <si>
    <t xml:space="preserve">Erick Records</t>
  </si>
  <si>
    <t xml:space="preserve">Manila</t>
  </si>
  <si>
    <t xml:space="preserve">Buy and sell vinyl, CDs, cassettes, audio gear</t>
  </si>
  <si>
    <t xml:space="preserve">https://www.facebook.com/ericksvinylrecord</t>
  </si>
  <si>
    <t xml:space="preserve">FB page carried an 'Opening Soon' tag.</t>
  </si>
  <si>
    <t xml:space="preserve">https://www.facebook.com/ericksvinylrecord/</t>
  </si>
  <si>
    <t xml:space="preserve">Plaka.MNL</t>
  </si>
  <si>
    <t xml:space="preserve">https://plakamnl.com</t>
  </si>
  <si>
    <t xml:space="preserve">https://www.instagram.com/plaka.mnl</t>
  </si>
  <si>
    <t xml:space="preserve">https://www.facebook.com/p/PlakaMNL-100063774737003</t>
  </si>
  <si>
    <t xml:space="preserve">https://www.tiktok.com/@plaka.mnl</t>
  </si>
  <si>
    <t xml:space="preserve">Vinyl shop in Manila; Mon-Sat 10AM-5PM per IG bio. TikTok account ~87K followers.</t>
  </si>
  <si>
    <t xml:space="preserve">https://www.instagram.com/plaka.mnl/ | https://www.tiktok.com/@plaka.mnl | https://www.facebook.com/p/PlakaMNL-100063774737003/</t>
  </si>
  <si>
    <t xml:space="preserve">TRAX Manila Records</t>
  </si>
  <si>
    <t xml:space="preserve">Marikina</t>
  </si>
  <si>
    <t xml:space="preserve">60 Sapphire St. cor. Sandalwood, Marikina City</t>
  </si>
  <si>
    <t xml:space="preserve">Vinyl (mostly foreign titles, some OPM), CDs, cassettes, turntables, audio accessories</t>
  </si>
  <si>
    <t xml:space="preserve">https://www.instagram.com/traxmanilarecords</t>
  </si>
  <si>
    <t xml:space="preserve">https://www.facebook.com/pages/Trax-Manila-Records/729614753793551</t>
  </si>
  <si>
    <t xml:space="preserve">Open Wed-Sun 10AM-8PM per Instagram bio.</t>
  </si>
  <si>
    <t xml:space="preserve">https://www.instagram.com/traxmanilarecords/ | https://nivessa.com/record-stores/philippines/metro-manila/marikina | https://thesmartlocal.ph/?p=10840</t>
  </si>
  <si>
    <t xml:space="preserve">Blue Spin</t>
  </si>
  <si>
    <t xml:space="preserve">Metro Manila</t>
  </si>
  <si>
    <t xml:space="preserve">Named in ABS-CBN 2021 Metro Manila vinyl guide; no address/contacts found; type not confirmed.</t>
  </si>
  <si>
    <t xml:space="preserve">https://news.abs-cbn.com/life/03/22/21/your-guide-to-hunting-for-vinyl-records-in-metro-manila</t>
  </si>
  <si>
    <t xml:space="preserve">Jamfactory</t>
  </si>
  <si>
    <t xml:space="preserve">M.E. Records</t>
  </si>
  <si>
    <t xml:space="preserve">Markarvin Records</t>
  </si>
  <si>
    <t xml:space="preserve">https://www.instagram.com/markarvinrecords</t>
  </si>
  <si>
    <t xml:space="preserve">Online record store based in Manila; named in ABS-CBN vinyl-hunting guide.</t>
  </si>
  <si>
    <t xml:space="preserve">https://www.instagram.com/markarvinrecords/ | https://news.abs-cbn.com/life/03/22/21/your-guide-to-hunting-for-vinyl-records-in-metro-manila</t>
  </si>
  <si>
    <t xml:space="preserve">Noisy Neighbor</t>
  </si>
  <si>
    <t xml:space="preserve">Riverside Records</t>
  </si>
  <si>
    <t xml:space="preserve">Still Ill</t>
  </si>
  <si>
    <t xml:space="preserve">Vinyl records (praised for fair pricing and strong selection)</t>
  </si>
  <si>
    <t xml:space="preserve">Vinyl Fields Records</t>
  </si>
  <si>
    <t xml:space="preserve">https://www.facebook.com/vinylfields.ph</t>
  </si>
  <si>
    <t xml:space="preserve">Lazada | Shopee</t>
  </si>
  <si>
    <t xml:space="preserve">Online since 2020, nationwide delivery; own website plus Lazada/Shopee; pop-up at Ayala Malls Trinoma.</t>
  </si>
  <si>
    <t xml:space="preserve">https://www.facebook.com/vinylfields.ph/</t>
  </si>
  <si>
    <t xml:space="preserve">Black Circles by Alice</t>
  </si>
  <si>
    <t xml:space="preserve">Quezon City</t>
  </si>
  <si>
    <t xml:space="preserve">Timog Avenue, Quezon City</t>
  </si>
  <si>
    <t xml:space="preserve">Vinyl; strong in hard rock and metal</t>
  </si>
  <si>
    <t xml:space="preserve">https://www.facebook.com/blackcirclesbyalice</t>
  </si>
  <si>
    <t xml:space="preserve">https://www.crownasia.com.ph/lifestyle-blog/turn-back-the-hands-of-time-best-places-to-buy-vinyl-records-in-the-philippines/ | https://news.abs-cbn.com/life/03/22/21/your-guide-to-hunting-for-vinyl-records-in-metro-manila</t>
  </si>
  <si>
    <t xml:space="preserve">Golden Days Records and Collectibles</t>
  </si>
  <si>
    <t xml:space="preserve">Records and collectibles</t>
  </si>
  <si>
    <t xml:space="preserve">Only mention found is a 10+ year-old Discogs forum thread; current status unknown.</t>
  </si>
  <si>
    <t xml:space="preserve">https://www.discogs.com/forum/thread/714753</t>
  </si>
  <si>
    <t xml:space="preserve">Good Vibrations Records</t>
  </si>
  <si>
    <t xml:space="preserve">Cubao Expo, 3 General Romulo Ave., Cubao, Quezon City</t>
  </si>
  <si>
    <t xml:space="preserve">Curated new/used vinyl; listening café with DJ nights and album listening parties</t>
  </si>
  <si>
    <t xml:space="preserve">https://www.instagram.com/goodvibrationsrecordsph</t>
  </si>
  <si>
    <t xml:space="preserve">Record shop + listening café (@goodvibrationsvinylcafeph); Tue-Sun 1PM-10:30PM. TikTok café review (Nov 2024) confirms operating; hosted a Laufey album listening party.</t>
  </si>
  <si>
    <t xml:space="preserve">https://lifestyleasia-onemega.com/arts-and-culture/7-places-to-buy-vinyl-records-in-manila/ | https://www.instagram.com/goodvibrationsrecordsph/ | https://www.instagram.com/goodvibrationsvinylcafeph/ | https://rollingstonephilippines.com/culture/cubao-expo-manila-creative-hub/ | https://www.tiktok.com/@kris.from.brooklyn/video/7437152268174003474</t>
  </si>
  <si>
    <t xml:space="preserve">Happy Dads Vinyl Shop</t>
  </si>
  <si>
    <t xml:space="preserve">1106 Quezon Street, Quezon City</t>
  </si>
  <si>
    <t xml:space="preserve">Rare vintage OPM and foreign LPs (since 2008)</t>
  </si>
  <si>
    <t xml:space="preserve">GMA credits image to its Facebook page.</t>
  </si>
  <si>
    <t xml:space="preserve">https://www.gmanetwork.com/entertainment/showbiznews/record-shops-for-vinyl-collectors-to-visit-in-metro-manila/70384/ | https://www.crownasia.com.ph/lifestyle-blog/turn-back-the-hands-of-time-best-places-to-buy-vinyl-records-in-the-philippines/</t>
  </si>
  <si>
    <t xml:space="preserve">Plaka Express Record Store</t>
  </si>
  <si>
    <t xml:space="preserve">#50 Palawan St., Bagong Pag-asa (Project 6 area), Quezon City</t>
  </si>
  <si>
    <t xml:space="preserve">New vinyl (OPM and mainstream), CDs, cassettes, turntables, accessories; vinyl/CD repair</t>
  </si>
  <si>
    <t xml:space="preserve">https://www.instagram.com/plakaexpress</t>
  </si>
  <si>
    <t xml:space="preserve">https://www.facebook.com/plakaexpressonline</t>
  </si>
  <si>
    <t xml:space="preserve">+63 965 759 3989</t>
  </si>
  <si>
    <t xml:space="preserve">info@plakaexpress.com</t>
  </si>
  <si>
    <t xml:space="preserve">Family-run; online store with in-store pickup; daily 9AM-7:30PM.</t>
  </si>
  <si>
    <t xml:space="preserve">https://www.facebook.com/plakaexpressonline/ | https://www.instagram.com/plakaexpress/ | https://lifestyleasia-onemega.com/arts-and-culture/7-places-to-buy-vinyl-records-in-manila/ | https://news.abs-cbn.com/life/03/22/21/your-guide-to-hunting-for-vinyl-records-in-metro-manila</t>
  </si>
  <si>
    <t xml:space="preserve">Rosano Records</t>
  </si>
  <si>
    <t xml:space="preserve">https://www.facebook.com/rosanorecords</t>
  </si>
  <si>
    <t xml:space="preserve">Online seller; same-day delivery in Metro Manila; BPI/BDO/GCash; says it is a main vinyl supplier for Good Vibrations shop.</t>
  </si>
  <si>
    <t xml:space="preserve">https://www.facebook.com/rosanorecords/</t>
  </si>
  <si>
    <t xml:space="preserve">The Grey Market Records</t>
  </si>
  <si>
    <t xml:space="preserve">Bellitudo Lifestyle Strip, 79 Katipunan Ave., White Plains, Quezon City; G/F Fox Square, Greenhills, San Juan; Salcedo Village, Makati</t>
  </si>
  <si>
    <t xml:space="preserve">New sealed and used vinyl, large stock</t>
  </si>
  <si>
    <t xml:space="preserve">https://www.facebook.com/TheGreyMarketRecords</t>
  </si>
  <si>
    <t xml:space="preserve">Lazada: https://www.lazada.com.ph/shop/the-grey-market-vinyl-records/</t>
  </si>
  <si>
    <t xml:space="preserve">Multi-branch chain (White Plains, Greenhills, Salcedo); FB page 286 reviews.</t>
  </si>
  <si>
    <t xml:space="preserve">https://www.facebook.com/TheGreyMarketRecords/ | https://www.lazada.com.ph/shop/the-grey-market-vinyl-records/?path=index.htm | https://www.crownasia.com.ph/lifestyle-blog/turn-back-the-hands-of-time-best-places-to-buy-vinyl-records-in-the-philippines/ | https://news.abs-cbn.com/life/03/22/21/your-guide-to-hunting-for-vinyl-records-in-metro-manila</t>
  </si>
  <si>
    <t xml:space="preserve">The Vinyl Depot</t>
  </si>
  <si>
    <t xml:space="preserve">https://www.facebook.com/thevinyldepotqc</t>
  </si>
  <si>
    <t xml:space="preserve">FB page handle @thevinyldepotqc suggests Quezon City base.</t>
  </si>
  <si>
    <t xml:space="preserve">https://www.facebook.com/thevinyldepotqc/</t>
  </si>
  <si>
    <t xml:space="preserve">The Vynil Shop</t>
  </si>
  <si>
    <t xml:space="preserve">Brand-new and secondhand vinyl</t>
  </si>
  <si>
    <t xml:space="preserve">https://www.facebook.com/Theyynilshop</t>
  </si>
  <si>
    <t xml:space="preserve">Vinyl Dump Thrift Store</t>
  </si>
  <si>
    <t xml:space="preserve">Store #23, Cubao Expo, General Romulo Ave., Araneta Center, Cubao, Quezon City</t>
  </si>
  <si>
    <t xml:space="preserve">Used vinyl 60s-90s (from ~PHP300), 7in/12in singles, CDs, DVDs, collectibles, 90s toys, comics</t>
  </si>
  <si>
    <t xml:space="preserve">https://www.facebook.com/VinylDumpThriftStore</t>
  </si>
  <si>
    <t xml:space="preserve">+63 960 688 2992 | +63 962 502 7587</t>
  </si>
  <si>
    <t xml:space="preserve">Started the quarterly Kagatan vinyl swap meet; second FB page 'Vinyl Dump Thrift Store 2' (facebook.com/Vinyldumpstore); clearance sale announced for Sept 2026.</t>
  </si>
  <si>
    <t xml:space="preserve">https://www.facebook.com/VinylDumpThriftStore/ | https://www.facebook.com/Vinyldumpstore/ | https://www.gmanetwork.com/entertainment/showbiznews/record-shops-for-vinyl-collectors-to-visit-in-metro-manila/70384/ | https://www.bandwagon.asia/articles/list-record-stores-in-manila-philippines-vinyl-shopping</t>
  </si>
  <si>
    <t xml:space="preserve">Yesteryears Music Gallery and Vinyl Store</t>
  </si>
  <si>
    <t xml:space="preserve">87 Maginhawa St. cor. Magiting St., UP Village, Quezon City</t>
  </si>
  <si>
    <t xml:space="preserve">Vintage/used vinyl; owner Nestor Veracruz's 20,000+ record library</t>
  </si>
  <si>
    <t xml:space="preserve">Check Facebook page for schedule (per Bandwagon).</t>
  </si>
  <si>
    <t xml:space="preserve">https://www.bandwagon.asia/articles/list-record-stores-in-manila-philippines-vinyl-shopping | https://www.gmanetwork.com/entertainment/showbiznews/record-shops-for-vinyl-collectors-to-visit-in-metro-manila/70384/</t>
  </si>
  <si>
    <t xml:space="preserve">Music Depot</t>
  </si>
  <si>
    <t xml:space="preserve">San Juan</t>
  </si>
  <si>
    <t xml:space="preserve">G/F Theater Mall, Greenhills Shopping Center, San Juan City; also Ayala Malls The 30th, Pasig</t>
  </si>
  <si>
    <t xml:space="preserve">Buy and sell vinyl and CDs</t>
  </si>
  <si>
    <t xml:space="preserve">https://www.facebook.com/p/Music-Depot-100057137902994</t>
  </si>
  <si>
    <t xml:space="preserve">https://www.facebook.com/p/Music-Depot-100057137902994/</t>
  </si>
  <si>
    <t xml:space="preserve">Ted Ellis</t>
  </si>
  <si>
    <t xml:space="preserve">Taguig</t>
  </si>
  <si>
    <t xml:space="preserve">2F Espacio Hotel, Bayani Road, AFPOVAI, Taguig City</t>
  </si>
  <si>
    <t xml:space="preserve">Listed among 7 places to buy vinyl in Manila (Lifestyle Asia).</t>
  </si>
  <si>
    <t xml:space="preserve">https://lifestyleasia-onemega.com/arts-and-culture/7-places-to-buy-vinyl-records-in-manila/</t>
  </si>
  <si>
    <t xml:space="preserve">Absolute Records</t>
  </si>
  <si>
    <t xml:space="preserve">Singapore</t>
  </si>
  <si>
    <t xml:space="preserve">Used vinyl – claims the largest used-record range in Singapore; stock sourced from collectors worldwide</t>
  </si>
  <si>
    <t xml:space="preserve">https://www.instagram.com/absoluterecords.sg.my</t>
  </si>
  <si>
    <t xml:space="preserve">https://www.facebook.com/p/Absolute-Records-100089438464627</t>
  </si>
  <si>
    <t xml:space="preserve">Described by Tatler as a major digital vinyl retailer; handle suggests SG/MY operation.</t>
  </si>
  <si>
    <t xml:space="preserve">https://www.tatlerasia.com/lifestyle/arts/best-record-stores-in-singapore | https://www.facebook.com/p/Absolute-Records-100089438464627/</t>
  </si>
  <si>
    <t xml:space="preserve">Avant Culture Club</t>
  </si>
  <si>
    <t xml:space="preserve">195 Pearl's Hill Terrace, Singapore (Outram)</t>
  </si>
  <si>
    <t xml:space="preserve">Opened first permanent shop at Pearl's Hill Terrace (report Feb 2026).</t>
  </si>
  <si>
    <t xml:space="preserve">https://www.fzine.com/culture/avant-culture-club-vinyl-store</t>
  </si>
  <si>
    <t xml:space="preserve">Black Gold Collections</t>
  </si>
  <si>
    <t xml:space="preserve">~3,000 new &amp; used LPs plus amplifiers and turntables</t>
  </si>
  <si>
    <t xml:space="preserve">https://citynomads.com/record-stores-in-singapore-where-to-find-vinyls-turntables-cassettes/</t>
  </si>
  <si>
    <t xml:space="preserve">Cherry Lane Records</t>
  </si>
  <si>
    <t xml:space="preserve">#01-05 The Modules, 387 Joo Chiat Road, Singapore 427623 (nearest MRT Marine Parade)</t>
  </si>
  <si>
    <t xml:space="preserve">Mostly second-hand vinyl 1970s–1990s, plus newer releases (2000s emo to modern pop)</t>
  </si>
  <si>
    <t xml:space="preserve">https://www.instagram.com/cherrylanerecords</t>
  </si>
  <si>
    <t xml:space="preserve">Carousell (started as a Carousell seller)</t>
  </si>
  <si>
    <t xml:space="preserve">Founded by Warren Choo; began on Carousell, opened Joo Chiat store in 2024. Daily 1–9pm. Had a stall at the Asia Hi-Fi &amp; AV Expo record fair, Marina Bay Sands (2026).</t>
  </si>
  <si>
    <t xml:space="preserve">https://www.timeout.com/singapore/music/cherry-lane-records | https://vulcanpost.com/912230/singapores-vinyl-boom/ | https://www.bandwagon.asia/articles/best-spots-in-singapore-to-get-cds-vinyls-or-cassettes-from-your-favourite-bands | https://www.stereonet.com/news/asia-expo-record-fair-brings-crate-culture-to-marina-bay-sands</t>
  </si>
  <si>
    <t xml:space="preserve">Choice Cuts Goods + Coffee (Choice Cuts Pizza &amp; Records)</t>
  </si>
  <si>
    <t xml:space="preserve">446 Joo Chiat Road, Singapore 427659 (moved from Serangoon Road)</t>
  </si>
  <si>
    <t xml:space="preserve">Soul/groove vinyl alongside coffee, pizza and streetwear merchandise</t>
  </si>
  <si>
    <t xml:space="preserve">https://www.instagram.com/choicecutsgoods</t>
  </si>
  <si>
    <t xml:space="preserve">Started by DJ collective Matteblacc. Relocated from Serangoon Road (lease end/redevelopment) to a larger Joo Chiat space.</t>
  </si>
  <si>
    <t xml:space="preserve">https://www.tatlerasia.com/lifestyle/arts/best-record-stores-in-singapore | https://www.thepeakmagazine.com.sg/lifestyle/new-record-shops-singapore-fuelling-vinyl-revival | https://thehoneycombers.com/singapore/record-stores-vinyls-turntables-singapore/</t>
  </si>
  <si>
    <t xml:space="preserve">Curated Records</t>
  </si>
  <si>
    <t xml:space="preserve">766A North Bridge Road, Singapore 198734 (2-storey shophouse near Kampong Glam; previously 55 Tiong Bahru Road until 2021)</t>
  </si>
  <si>
    <t xml:space="preserve">Vinyl only; mainly new pressings – indie, offbeat imports, contemporary pop; box sets, limited pressings, 7-inches; 2,000+ records</t>
  </si>
  <si>
    <t xml:space="preserve">https://curatedrecords.com</t>
  </si>
  <si>
    <t xml:space="preserve">https://www.instagram.com/curatedrecords</t>
  </si>
  <si>
    <t xml:space="preserve">https://www.facebook.com/curatedrecords</t>
  </si>
  <si>
    <t xml:space="preserve">Founded 2014 by Tremon Lim. Open Tue–Sun 12–8pm, new stock weekly; in-store pickup for online orders.</t>
  </si>
  <si>
    <t xml:space="preserve">https://citynomads.com/record-stores-in-singapore-where-to-find-vinyls-turntables-cassettes/ | https://thesmartlocal.com/read/vinyl-record-stores/ | https://www.instagram.com/curatedrecords/ | https://www.facebook.com/curatedrecords/ | https://vulcanpost.com/912230/singapores-vinyl-boom/</t>
  </si>
  <si>
    <t xml:space="preserve">Fook Yu Records</t>
  </si>
  <si>
    <t xml:space="preserve">150 South Bridge Road, Singapore (Chinatown)</t>
  </si>
  <si>
    <t xml:space="preserve">https://www.homeanddecor.com.sg/shopping/shopping-where-to-buy-vinyl-records-in-singapore-and-how-to-play-them</t>
  </si>
  <si>
    <t xml:space="preserve">For The Record</t>
  </si>
  <si>
    <t xml:space="preserve">Peninsula Shopping Centre, 3 Coleman Street, #04-28, Singapore 179804</t>
  </si>
  <si>
    <t xml:space="preserve">Mostly second-hand vinyl, 1950s–1990s; 30,000–40,000 titles</t>
  </si>
  <si>
    <t xml:space="preserve">https://www.facebook.com/ForTheRecordSG</t>
  </si>
  <si>
    <t xml:space="preserve">At Peninsula since 2008; owner Mr Alagiry. Daily 12.30–7.30pm.</t>
  </si>
  <si>
    <t xml:space="preserve">https://www.facebook.com/ForTheRecordSG | https://robbreport.com.sg/where-to-buy-vinyl-in-singapore-old-school-record-stores-that-sell-vinyl-walkmans-and-cassettes/ | https://citynomads.com/record-stores-in-singapore-where-to-find-vinyls-turntables-cassettes/</t>
  </si>
  <si>
    <t xml:space="preserve">Hear Records</t>
  </si>
  <si>
    <t xml:space="preserve">#01-18 Burlington Square, 175B Bencoolen Street, Singapore 189651 (Bandwagon lists unit #01-39)</t>
  </si>
  <si>
    <t xml:space="preserve">New &amp; second-hand vinyl across genres; large jazz section in the loft; regularly imports new releases</t>
  </si>
  <si>
    <t xml:space="preserve">https://www.hearrecords.com.sg</t>
  </si>
  <si>
    <t xml:space="preserve">https://www.instagram.com/hearrecords</t>
  </si>
  <si>
    <t xml:space="preserve">Mon–Sat 11am–7.30pm, Sun 12–6pm. Featured in The Vinyl Factory's 'World's Best Record Shops' (2016). Chinatown sister outlet (Blk 5 Banda St #01-98) permanently closed. ACRA registration shown live (May 2026); registered address 13 Yishun St 51 #01-27.</t>
  </si>
  <si>
    <t xml:space="preserve">https://www.timeout.com/singapore/shopping/hear-records | https://www.thevinylfactory.com/features/worlds-best-record-shops-041-hear-records-singapore | https://www.bandwagon.asia/articles/bandwagon-s-guide-to-vinyl-shopping-in-singapore | https://companieshouse.sg/hear-records-53229504L | https://thehoneycombers.com/singapore/record-stores-vinyls-turntables-singapore/ | https://thesmartlocal.com/read/vinyl-record-stores/</t>
  </si>
  <si>
    <t xml:space="preserve">House of Turntables</t>
  </si>
  <si>
    <t xml:space="preserve">Millenia Walk (Marina Centre); earlier on Commonwealth Drive</t>
  </si>
  <si>
    <t xml:space="preserve">Turntables and ~10,000 new &amp; used albums</t>
  </si>
  <si>
    <t xml:space="preserve">Hours listed 11am–8pm Sun–Thu, 11am–9pm Fri–Sat.</t>
  </si>
  <si>
    <t xml:space="preserve">https://citynomads.com/record-stores-in-singapore-where-to-find-vinyls-turntables-cassettes/ | https://www.bandwagon.asia/articles/best-spots-in-singapore-to-get-cds-vinyls-or-cassettes-from-your-favourite-bands</t>
  </si>
  <si>
    <t xml:space="preserve">Inokii</t>
  </si>
  <si>
    <t xml:space="preserve">Far East Plaza, 14 Scotts Road, Singapore (Orchard)</t>
  </si>
  <si>
    <t xml:space="preserve">Rock &amp; dark/metal sub-genres plus pop releases</t>
  </si>
  <si>
    <t xml:space="preserve">https://thehoneycombers.com/singapore/record-stores-vinyls-turntables-singapore/</t>
  </si>
  <si>
    <t xml:space="preserve">Intermix Records</t>
  </si>
  <si>
    <t xml:space="preserve">The Adelphi, 1 Coleman Street, Singapore</t>
  </si>
  <si>
    <t xml:space="preserve">Vinyl records (new &amp; used per expo listing)</t>
  </si>
  <si>
    <t xml:space="preserve">Record-fair exhibitor at StereoNET Asia Hi-Fi &amp; AV Expo, Marina Bay Sands (Jul 2026).</t>
  </si>
  <si>
    <t xml:space="preserve">https://stereonet.com/show/asia/2026-stereonet-asia-hifi-av-expo | https://stereonet.com/show/asia/</t>
  </si>
  <si>
    <t xml:space="preserve">KittyWu Records</t>
  </si>
  <si>
    <t xml:space="preserve">Independent label/distro selling new and second-hand records</t>
  </si>
  <si>
    <t xml:space="preserve">Sold records at the Fred Perry Record Rally (Record Store Day event).</t>
  </si>
  <si>
    <t xml:space="preserve">https://thehoneycombers.com/singapore/record-store-day-in-singapore-fred-perry-record-rally-is-one-music-event-you-cant-miss</t>
  </si>
  <si>
    <t xml:space="preserve">Lifted Trax</t>
  </si>
  <si>
    <t xml:space="preserve">Level 3 shophouse, Lorong Telok (Boat Quay)</t>
  </si>
  <si>
    <t xml:space="preserve">Curated second-hand vinyl plus new releases – dance, jazz, soul, disco</t>
  </si>
  <si>
    <t xml:space="preserve">https://thesmartlocal.com/read/lifted-trax-record-store-singapore/ | https://www.thepeakmagazine.com.sg/lifestyle/new-record-shops-singapore-fuelling-vinyl-revival</t>
  </si>
  <si>
    <t xml:space="preserve">Memory Lane</t>
  </si>
  <si>
    <t xml:space="preserve">The Adelphi (basement), 1 Coleman Street, Singapore</t>
  </si>
  <si>
    <t xml:space="preserve">Second-hand vinyl from the 1960s–70s, rare and limited-edition pressings</t>
  </si>
  <si>
    <t xml:space="preserve">Owner alerts regulars when new stock arrives.</t>
  </si>
  <si>
    <t xml:space="preserve">https://robbreport.com.sg/where-to-buy-vinyl-in-singapore-old-school-record-stores-that-sell-vinyl-walkmans-and-cassettes/ | https://citynomads.com/record-stores-in-singapore-where-to-find-vinyls-turntables-cassettes/</t>
  </si>
  <si>
    <t xml:space="preserve">Mosta Records</t>
  </si>
  <si>
    <t xml:space="preserve">34 Arab Street, #02-02, Singapore 199733 (Kampong Glam)</t>
  </si>
  <si>
    <t xml:space="preserve">Record label + vinyl distributor/retailer; dealer for Third Man Records, Fat Possum Records and Audio-Technica turntables; indie/alternative</t>
  </si>
  <si>
    <t xml:space="preserve">https://www.instagram.com/mostarecordslp</t>
  </si>
  <si>
    <t xml:space="preserve">Also indie artist management (since 2017) and event organiser: runs 'Side A, A Singapore Record Show' (@side_a_singapore; Nov 2024 edition at National Library Drama Centre with a 15+ seller 'Vinyl Souk') and Record Store Day Singapore activities.</t>
  </si>
  <si>
    <t xml:space="preserve">https://www.instagram.com/mostarecordslp/ | https://sg.bandwagon.asia/articles/record-store-day-2021-in-singapore-where-to-visit-for-latest-vinyls-cds-cassettes-and-more | https://www.instagram.com/side_a_singapore/ | https://www.timeout.com/singapore/music/side-a-a-singapore-record-show</t>
  </si>
  <si>
    <t xml:space="preserve">Musicology Records</t>
  </si>
  <si>
    <t xml:space="preserve">66 Haji Lane, Singapore 189259 (Kampong Glam)</t>
  </si>
  <si>
    <t xml:space="preserve">LPs, CDs, cassettes, turntables – classic rock to city pop; DJ sessions</t>
  </si>
  <si>
    <t xml:space="preserve">https://www.instagram.com/musicology.records</t>
  </si>
  <si>
    <t xml:space="preserve">Mon–Sat 12.30–8.30pm, Sun 1–9pm (Instagram bio).</t>
  </si>
  <si>
    <t xml:space="preserve">https://www.instagram.com/musicology.records/ | https://www.tatlerasia.com/lifestyle/arts/best-record-stores-in-singapore</t>
  </si>
  <si>
    <t xml:space="preserve">Red Point Record Warehouse</t>
  </si>
  <si>
    <t xml:space="preserve">80 Playfair Road, #06-11 Kapo Factory Building Blk B, Singapore 367998 (Tai Seng)</t>
  </si>
  <si>
    <t xml:space="preserve">Mostly second-hand vinyl (70,000+ records), 1950s–1990s: disco, classical, rock, pop, large Chinese &amp; Malay section; also cassettes, CDs, vintage audio gear</t>
  </si>
  <si>
    <t xml:space="preserve">https://www.facebook.com/RedPointRecord</t>
  </si>
  <si>
    <t xml:space="preserve">+65 6383 3955</t>
  </si>
  <si>
    <t xml:space="preserve">Run by Ong Chai Koon. Open Thu–Sun 11am–7pm; listening stations. Record-fair exhibitor at StereoNET Asia Hi-Fi &amp; AV Expo, Marina Bay Sands (Jul 2026).</t>
  </si>
  <si>
    <t xml:space="preserve">https://citynomads.com/record-stores-in-singapore-where-to-find-vinyls-turntables-cassettes/ | https://www.facebook.com/RedPointRecord/ | https://thesmartlocal.com/read/vinyl-record-stores/ | https://stereonet.com/show/asia/2026-stereonet-asia-hifi-av-expo</t>
  </si>
  <si>
    <t xml:space="preserve">RetroCrates</t>
  </si>
  <si>
    <t xml:space="preserve">450A Joo Chiat Road, Singapore (Joo Chiat / Katong)</t>
  </si>
  <si>
    <t xml:space="preserve">New &amp; pre-owned vinyl (7", 12", LPs) – jazz, blues, classic rock; weekly new arrivals</t>
  </si>
  <si>
    <t xml:space="preserve">https://www.instagram.com/retrocrates</t>
  </si>
  <si>
    <t xml:space="preserve">https://www.facebook.com/RetroCrates</t>
  </si>
  <si>
    <t xml:space="preserve">https://www.facebook.com/RetroCrates/ | https://thesmartlocal.com/read/vinyl-record-stores/ | https://www.homeanddecor.com.sg/shopping/shopping-where-to-buy-vinyl-records-in-singapore-and-how-to-play-them | https://stereonet.com/show/asia/2026-stereonet-asia-hifi-av-expo | https://www.lemon8-app.com/@cluuelessdays/7250083472293790209?region=sg</t>
  </si>
  <si>
    <t xml:space="preserve">Retrophonic Records</t>
  </si>
  <si>
    <t xml:space="preserve">18A Duxton Road, Singapore (Tanjong Pagar; formerly Chinatown Plaza showroom)</t>
  </si>
  <si>
    <t xml:space="preserve">New &amp; used vinyl incl. Japanese pressings/pre-orders; turntables and budget hi-fi</t>
  </si>
  <si>
    <t xml:space="preserve">https://www.retrophonicrecords.com</t>
  </si>
  <si>
    <t xml:space="preserve">https://www.facebook.com/RetrophonicRecords</t>
  </si>
  <si>
    <t xml:space="preserve">Shopee (storefront mentioned on Facebook page)</t>
  </si>
  <si>
    <t xml:space="preserve">Operated by Retrophonic Records LLP.</t>
  </si>
  <si>
    <t xml:space="preserve">https://www.retrophonicrecords.com/about/ | https://www.facebook.com/RetrophonicRecords/</t>
  </si>
  <si>
    <t xml:space="preserve">Rhapsody Records</t>
  </si>
  <si>
    <t xml:space="preserve">Holland Road Shopping Centre, Singapore</t>
  </si>
  <si>
    <t xml:space="preserve">Roxy Disc House</t>
  </si>
  <si>
    <t xml:space="preserve">39 Jalan Pemimpin, #01-03, Singapore 577182 (also listed at The Adelphi, 1 Coleman St #03-41/42)</t>
  </si>
  <si>
    <t xml:space="preserve">Audiophile pressings, deluxe reissues, new &amp; second-hand vinyl; CDs</t>
  </si>
  <si>
    <t xml:space="preserve">Hours listed Mon–Sat 1–7pm, Sun 2–7pm. Record-fair exhibitor at StereoNET Asia Hi-Fi &amp; AV Expo (Jul 2026).</t>
  </si>
  <si>
    <t xml:space="preserve">https://thesmartlocal.com/read/cd-shops-singapore/ | https://thesmartlocal.com/read/vinyl-record-stores/ | https://stereonet.com/show/asia/2026-stereonet-asia-hifi-av-expo</t>
  </si>
  <si>
    <t xml:space="preserve">Roxy Records &amp; Trading</t>
  </si>
  <si>
    <t xml:space="preserve">Excelsior Shopping Centre, 5 Coleman Street, #02-15, Singapore 179805</t>
  </si>
  <si>
    <t xml:space="preserve">Vintage &amp; new vinyl and CDs; strong in metal/rock European imports; special orders; record cleaning</t>
  </si>
  <si>
    <t xml:space="preserve">https://www.facebook.com/RoxyRecordsAndTrading</t>
  </si>
  <si>
    <t xml:space="preserve">Family-run since 1962; often called Singapore's second-largest record store. Mon–Sat 12–9pm. Listed in TheSmartLocal's 2025 guide (TheSmartLocal's CD-shop guide gives an alternate unit at The Adelphi #03-15).</t>
  </si>
  <si>
    <t xml:space="preserve">https://www.facebook.com/RoxyRecordsAndTrading/ | https://www.timeout.com/singapore/music/roxy-records-and-trading | https://thesmartlocal.com/read/vinyl-record-stores/ | https://robbreport.com.sg/where-to-buy-vinyl-in-singapore-old-school-record-stores-that-sell-vinyl-walkmans-and-cassettes/</t>
  </si>
  <si>
    <t xml:space="preserve">Simply Music</t>
  </si>
  <si>
    <t xml:space="preserve">#03-46 The Adelphi, 1 Coleman Street, Singapore 179803</t>
  </si>
  <si>
    <t xml:space="preserve">Jazz &amp; classical vinyl; entry-level turntables (Rega, Audio-Technica) from ~S$400</t>
  </si>
  <si>
    <t xml:space="preserve">+65 6336 2938</t>
  </si>
  <si>
    <t xml:space="preserve">Daily 12.30–7.30pm. Record-fair exhibitor at StereoNET Asia Hi-Fi &amp; AV Expo (Jul 2026).</t>
  </si>
  <si>
    <t xml:space="preserve">https://citynomads.com/record-stores-in-singapore-where-to-find-vinyls-turntables-cassettes/ | https://stereonet.com/show/asia/2026-stereonet-asia-hifi-av-expo</t>
  </si>
  <si>
    <t xml:space="preserve">Slow Boat</t>
  </si>
  <si>
    <t xml:space="preserve">45A Craig Road, Singapore (Tanjong Pagar)</t>
  </si>
  <si>
    <t xml:space="preserve">Vinyl listening café selling new &amp; used records; hundreds of titles (incl. Taylor Swift, Studio Ghibli); cassette library</t>
  </si>
  <si>
    <t xml:space="preserve">Billed as Singapore's first vinyl listening café; daily 11am–9pm; listening sessions S$30/hr incl. drink.</t>
  </si>
  <si>
    <t xml:space="preserve">https://sethlui.com/vinyl-cafes-singapore-guide/ | https://thebeat.asia/singapore/delish/happenings/spend-a-slow-afternoon-at-singapores-first-vinyl-listening-cafe | https://www.timeout.com/singapore/music/the-best-listening-bars-in-singapore</t>
  </si>
  <si>
    <t xml:space="preserve">Straits Records</t>
  </si>
  <si>
    <t xml:space="preserve">11 Balestier Road, Singapore (per CityNomads)</t>
  </si>
  <si>
    <t xml:space="preserve">Curated mix of vinyl and CDs</t>
  </si>
  <si>
    <t xml:space="preserve">https://citynomads.com/record-stores-in-singapore-where-to-find-vinyls-turntables-cassettes/ | https://www.bandwagon.asia/articles/bandwagon-s-guide-to-vinyl-shopping-in-singapore</t>
  </si>
  <si>
    <t xml:space="preserve">Surface Noise</t>
  </si>
  <si>
    <t xml:space="preserve">Level 4, Textile Centre, 200 Jalan Sultan, Singapore (Arab Street precinct)</t>
  </si>
  <si>
    <t xml:space="preserve">Hardcore, metal, punk, emo, underground &amp; experimental; local, regional and international releases</t>
  </si>
  <si>
    <t xml:space="preserve">https://www.instagram.com/surfacenoiserecs</t>
  </si>
  <si>
    <t xml:space="preserve">https://robbreport.com.sg/where-to-buy-vinyl-in-singapore-old-school-record-stores-that-sell-vinyl-walkmans-and-cassettes/ | https://thehoneycombers.com/singapore/record-stores-vinyls-turntables-singapore/</t>
  </si>
  <si>
    <t xml:space="preserve">Swee Lee</t>
  </si>
  <si>
    <t xml:space="preserve">The Star Vista (Buona Vista); Swee Lee Clarke Quay (café/music space)</t>
  </si>
  <si>
    <t xml:space="preserve">Music instrument retailer stocking vinyl and turntables alongside guitars/keyboards; in-store café</t>
  </si>
  <si>
    <t xml:space="preserve">Swee Lee Clarke Quay added to Time Out's listening-spot guide (Feb 2026).</t>
  </si>
  <si>
    <t xml:space="preserve">https://thehoneycombers.com/singapore/?p=46024 | https://www.timeout.com/singapore/music/the-best-listening-bars-in-singapore</t>
  </si>
  <si>
    <t xml:space="preserve">The Analog Vault</t>
  </si>
  <si>
    <t xml:space="preserve">26 Sin Ming Lane, #03-121 Midview City, Singapore 573971 (HQ/warehouse per Bandwagon – online orders &amp; collection); formerly Esplanade Mall #02-13, 8 Raffles Avenue, Singapore 039802</t>
  </si>
  <si>
    <t xml:space="preserve">New &amp; used vinyl – jazz, hip-hop, soul, electronica, modern classical, world, local; music books/magazines, analog merch; record cleaning (Nessie Vinylmaster)</t>
  </si>
  <si>
    <t xml:space="preserve">https://www.instagram.com/analog_vault</t>
  </si>
  <si>
    <t xml:space="preserve">+65 9026 5215</t>
  </si>
  <si>
    <t xml:space="preserve">Est. 2015 at Esplanade Mall (sister space The Analog Room at #02-10). TheSmartLocal (2025 edition) says it left Esplanade and had not yet secured a new storefront – customers buy online and collect from HQ/warehouse. Instagram bio lists Wed–Sat 1–7pm. Runs its own label (TAV Records).</t>
  </si>
  <si>
    <t xml:space="preserve">https://citynomads.com/record-stores-in-singapore-where-to-find-vinyls-turntables-cassettes/ | https://www.instagram.com/analog_vault/ | https://www.timeout.com/singapore/shopping/the-analog-vault | https://www.bandwagon.asia/articles/local-record-store-the-analog-vault-launches-online-store | https://thesmartlocal.com/read/vinyl-record-stores/ | https://www.bandwagon.asia/articles/bandwagon-s-guide-to-vinyl-shopping-in-singapore | https://esplanade.com/visit-esplanade/esplanade-mall/shops-and-restaurants/the-analog-vault | https://lifeinarpeggio.com/blog/a-new-tempo-the-analog-vault-record-stores-covid-affected-businesses-music-events-scene-industry-singapore</t>
  </si>
  <si>
    <t xml:space="preserve">The Barbershop Music</t>
  </si>
  <si>
    <t xml:space="preserve">428 Joo Chiat Road, Singapore 427645 (Honeycombers lists it on Geylang Road)</t>
  </si>
  <si>
    <t xml:space="preserve">Barbershop with a small record section; vinyl, cassettes, posters and band merch</t>
  </si>
  <si>
    <t xml:space="preserve">https://www.instagram.com/thebarbershopmusic</t>
  </si>
  <si>
    <t xml:space="preserve">https://thesmartlocal.com/read/vinyl-record-stores/ | https://thehoneycombers.com/singapore/?p=46024</t>
  </si>
  <si>
    <t xml:space="preserve">Thryft</t>
  </si>
  <si>
    <t xml:space="preserve">Social-impact second-hand store with a pre-owned vinyl section (1950s–2000s)</t>
  </si>
  <si>
    <t xml:space="preserve">Vinyl Kakis</t>
  </si>
  <si>
    <t xml:space="preserve">Excelsior Shopping Centre, 5 Coleman Street, #B1-28, Singapore 179805</t>
  </si>
  <si>
    <t xml:space="preserve">New &amp; used vinyl – retro pop, metal, noise; also CDs and cassettes</t>
  </si>
  <si>
    <t xml:space="preserve">https://www.facebook.com/VinylKakis</t>
  </si>
  <si>
    <t xml:space="preserve">Closed Sun &amp; Mon (per Bandwagon). Listed in TheSmartLocal's 2025 vinyl store guide.</t>
  </si>
  <si>
    <t xml:space="preserve">https://www.facebook.com/VinylKakis/ | https://www.bandwagon.asia/articles/bandwagon-s-guide-to-vinyl-shopping-in-singapore | https://vulcanpost.com/621018/vinyl-kakis-invested-40k-business-singapore/</t>
  </si>
  <si>
    <t xml:space="preserve">Vinylucky</t>
  </si>
  <si>
    <t xml:space="preserve">White Label Records</t>
  </si>
  <si>
    <t xml:space="preserve">28 Ann Siang Road, #01-01 (Ann Siang House, Chinatown)</t>
  </si>
  <si>
    <t xml:space="preserve">Record store by day, cocktail bar by night</t>
  </si>
  <si>
    <t xml:space="preserve">Collaboration involving The Analog Vault team. Only seen in 2019-era guides – confirm it still operates.</t>
  </si>
  <si>
    <t xml:space="preserve">https://shopee.sg/blog/vinyl-records-in-singapore/amp/ | https://superfuture.com/?p=77615</t>
  </si>
  <si>
    <t xml:space="preserve">Zenn Audio Electronics</t>
  </si>
  <si>
    <t xml:space="preserve">Bedok Shopping Complex, 292 Bedok Road, Singapore (Simpang Bedok)</t>
  </si>
  <si>
    <t xml:space="preserve">Audio shop with extensive old &amp; new vinyl titles; vintage turntables and starter packs</t>
  </si>
  <si>
    <t xml:space="preserve">Daily 1–8pm (Time Out).</t>
  </si>
  <si>
    <t xml:space="preserve">https://www.timeout.com/singapore/shopping/zenn-audio-electronics</t>
  </si>
  <si>
    <t xml:space="preserve">Cempaka Music Store</t>
  </si>
  <si>
    <t xml:space="preserve">Cassettes, vinyl, CDs</t>
  </si>
  <si>
    <t xml:space="preserve">https://www.instagram.com/cempaka_musicstore</t>
  </si>
  <si>
    <t xml:space="preserve">Visits by appointment.</t>
  </si>
  <si>
    <t xml:space="preserve">https://www.instagram.com/cempaka_musicstore/</t>
  </si>
  <si>
    <t xml:space="preserve">Fantasi Musik Indonesia</t>
  </si>
  <si>
    <t xml:space="preserve">Cassettes, CDs, vinyl, Walkmans, tape decks</t>
  </si>
  <si>
    <t xml:space="preserve">https://www.instagram.com/fantasi_musik_indonesia</t>
  </si>
  <si>
    <t xml:space="preserve">Orders via WhatsApp (per IG bio).</t>
  </si>
  <si>
    <t xml:space="preserve">https://www.instagram.com/fantasi_musik_indonesia/</t>
  </si>
  <si>
    <t xml:space="preserve">Kamargelap Records</t>
  </si>
  <si>
    <t xml:space="preserve">Vinyl</t>
  </si>
  <si>
    <t xml:space="preserve">Online vinyl stall that drew many buyers during the pandemic (Medcom, June 2020; platform not stated); listed as a participating shop in Record Store Day Indonesia 2024.</t>
  </si>
  <si>
    <t xml:space="preserve">https://www.medcom.id/hiburan/indis/8N00DAdN-meraup-untung-dari-piringan-hitam-di-tengah-pandemi | https://www.merahputih.com/post/read/record-store-day-indonesia-2024-hadirkan-20-toko-rilisan-fisik</t>
  </si>
  <si>
    <t xml:space="preserve">Turn and Turn Record</t>
  </si>
  <si>
    <t xml:space="preserve">Used vinyl, CDs, box sets</t>
  </si>
  <si>
    <t xml:space="preserve">https://www.instagram.com/turnandturn</t>
  </si>
  <si>
    <t xml:space="preserve">Tokopedia: https://www.tokopedia.com/turnandturn</t>
  </si>
  <si>
    <t xml:space="preserve">Visitors welcome daily 11:00-18:00; WhatsApp ordering per IG bio.</t>
  </si>
  <si>
    <t xml:space="preserve">https://www.instagram.com/turnandturn/ | https://www.tokopedia.com/turnandturn/etalase/kiss</t>
  </si>
  <si>
    <t xml:space="preserve">Millers Records Bali</t>
  </si>
  <si>
    <t xml:space="preserve">Bali</t>
  </si>
  <si>
    <t xml:space="preserve">https://www.instagram.com/millersrecordsbali</t>
  </si>
  <si>
    <t xml:space="preserve">Bali branch of Millers Records.</t>
  </si>
  <si>
    <t xml:space="preserve">https://www.instagram.com/millersrecordsbali/</t>
  </si>
  <si>
    <t xml:space="preserve">Peels Records Bali</t>
  </si>
  <si>
    <t xml:space="preserve">Mengwi, Badung, Bali (ground-floor unit)</t>
  </si>
  <si>
    <t xml:space="preserve">Vinyl (second outpost of Peels Records Bandung)</t>
  </si>
  <si>
    <t xml:space="preserve">Second outpost of Peels Records, in Mengwi, Bali.</t>
  </si>
  <si>
    <t xml:space="preserve">https://superfuture.com/?p=109708</t>
  </si>
  <si>
    <t xml:space="preserve">Bhang Records</t>
  </si>
  <si>
    <t xml:space="preserve">Bandung</t>
  </si>
  <si>
    <t xml:space="preserve">Jl. Sukasenang III No. 4, Cikutra, Cibeunying Kidul, Bandung 40124</t>
  </si>
  <si>
    <t xml:space="preserve">Funk, soul, indie rock</t>
  </si>
  <si>
    <t xml:space="preserve">https://bhangrecords.com</t>
  </si>
  <si>
    <t xml:space="preserve">Founded 2011 by Rekti Yoewono (The Sigit); 2017 site combined shop with rehearsal room, recording studio and cafe; address from 2017 Vinyl Factory feature.</t>
  </si>
  <si>
    <t xml:space="preserve">https://www.thevinylfactory.com/features/the-worlds-best-record-shops-057-bhang-records-bandung</t>
  </si>
  <si>
    <t xml:space="preserve">DU 68 Musik</t>
  </si>
  <si>
    <t xml:space="preserve">Jl. Dipatiukur No. 68, Bandung</t>
  </si>
  <si>
    <t xml:space="preserve">Cassettes, VCDs, DVDs and vinyl</t>
  </si>
  <si>
    <t xml:space="preserve">In business about 23 years per detikJabar; irregular hours, contact owner before visiting (Stamp the Wax guide).</t>
  </si>
  <si>
    <t xml:space="preserve">https://www.detik.com/jabar/foto/d-6883469/nostalgia-lewat-kaset-pita?zoom=1 | https://www.stampthewax.com/?p=31962</t>
  </si>
  <si>
    <t xml:space="preserve">Imaginaire Record Store</t>
  </si>
  <si>
    <t xml:space="preserve">Vinyl, CDs and cassettes; takes orders and wishlist requests</t>
  </si>
  <si>
    <t xml:space="preserve">https://www.instagram.com/imaginairerecordstore</t>
  </si>
  <si>
    <t xml:space="preserve">Orders via WhatsApp or Instagram DM.</t>
  </si>
  <si>
    <t xml:space="preserve">https://www.instagram.com/imaginairerecordstore/</t>
  </si>
  <si>
    <t xml:space="preserve">Keep Keep Musik</t>
  </si>
  <si>
    <t xml:space="preserve">Jl. Kiputih No. 1, Bandung</t>
  </si>
  <si>
    <t xml:space="preserve">Japanese releases and new international LPs</t>
  </si>
  <si>
    <t xml:space="preserve">From a ~2017 Stamp the Wax Bandung city guide.</t>
  </si>
  <si>
    <t xml:space="preserve">https://www.stampthewax.com/?p=31962</t>
  </si>
  <si>
    <t xml:space="preserve">Kineruku</t>
  </si>
  <si>
    <t xml:space="preserve">Jl. Hegarmanah No. 52, Bandung</t>
  </si>
  <si>
    <t xml:space="preserve">Listed among Bandung record stores in a UIN SGD thesis table (citing authenticity.id); confirm vinyl stock.</t>
  </si>
  <si>
    <t xml:space="preserve">https://digilib.uinsgd.ac.id/109029/4/4_BAB%20I.pdf</t>
  </si>
  <si>
    <t xml:space="preserve">Omuniuum</t>
  </si>
  <si>
    <t xml:space="preserve">Jl. Ciumbuleuit No. 151, Bandung</t>
  </si>
  <si>
    <t xml:space="preserve">Records (frequent Record Store Day Bandung host)</t>
  </si>
  <si>
    <t xml:space="preserve">Listed among Bandung record stores in a UIN SGD thesis table (citing authenticity.id).</t>
  </si>
  <si>
    <t xml:space="preserve">Peels Records &amp; Bar</t>
  </si>
  <si>
    <t xml:space="preserve">Jl. Ir. H. Juanda No. 113 (2nd floor), Dago, Coblong, Bandung 40132</t>
  </si>
  <si>
    <t xml:space="preserve">Disco, Italo, funk, boogie, jazz, 70s-90s city pop; focus on Indonesian records</t>
  </si>
  <si>
    <t xml:space="preserve">https://www.instagram.com/peels.records</t>
  </si>
  <si>
    <t xml:space="preserve">Record store, listening room and cocktail bar in a restored Dutch colonial building (opened 2021); Mon-Sat 16:00-00:00; planned own-label Indonesian city pop/AOR/boogie compilation.</t>
  </si>
  <si>
    <t xml:space="preserve">https://mixmag.asia/read/peels-records-opens-bandung-vinyl-store-cocktail-bar-indonesia-local | https://www.orami.co.id/magazine/hidden-bar-bandung | https://superfuture.com/?p=97919</t>
  </si>
  <si>
    <t xml:space="preserve">Quickening Store</t>
  </si>
  <si>
    <t xml:space="preserve">Stores in Bandung and Jakarta</t>
  </si>
  <si>
    <t xml:space="preserve">Rock, pop, hip-hop releases</t>
  </si>
  <si>
    <t xml:space="preserve">https://www.instagram.com/quickeningstore</t>
  </si>
  <si>
    <t xml:space="preserve">IDN Times lists it among shops selling records online during lockdown; stores in Bandung and Jakarta.</t>
  </si>
  <si>
    <t xml:space="preserve">https://www.idntimes.com/men/attitude/rekomendasi-tempat-jual-piringan-hitam-c1c2-1-01-w4261-93b395</t>
  </si>
  <si>
    <t xml:space="preserve">33rpm</t>
  </si>
  <si>
    <t xml:space="preserve">Jakarta</t>
  </si>
  <si>
    <t xml:space="preserve">Pasar Santa Modern Market, Ground floor Blok AKS No. 170, Jl. Cipaku I, Petogogan, Kebayoran Baru, Jakarta Selatan</t>
  </si>
  <si>
    <t xml:space="preserve">Used vinyl; vintage foreign artists (many Japanese pressings), 1990s, 70s-80s European prog</t>
  </si>
  <si>
    <t xml:space="preserve">https://www.instagram.com/33rpm_</t>
  </si>
  <si>
    <t xml:space="preserve">Participating shop in RSD Indonesia 2024.</t>
  </si>
  <si>
    <t xml:space="preserve">https://www.idntimes.com/men/attitude/rekomendasi-tempat-jual-piringan-hitam-c1c2-1-01-w4261-93b395 | https://www.merahputih.com/post/read/record-store-day-indonesia-2024-hadirkan-20-toko-rilisan-fisik</t>
  </si>
  <si>
    <t xml:space="preserve">Abadi Records</t>
  </si>
  <si>
    <t xml:space="preserve">Vendor at Union Records vinyl pop-up market (Union Jakarta, Plaza Senayan, Sept 2023); city inferred from that event; type unconfirmed.</t>
  </si>
  <si>
    <t xml:space="preserve">https://mixmag.asia/read/jakarta-the-union-group-presents-union-records-vinyl-pop-up-market-events</t>
  </si>
  <si>
    <t xml:space="preserve">Andi Twins Music</t>
  </si>
  <si>
    <t xml:space="preserve">Blok M Square, Basement B 175, Melawai, Kebayoran Baru, Jakarta Selatan</t>
  </si>
  <si>
    <t xml:space="preserve">Jazz standards, 1980s pop, local and international releases</t>
  </si>
  <si>
    <t xml:space="preserve">Runs a YouTube channel featuring musicians who visit the shop.</t>
  </si>
  <si>
    <t xml:space="preserve">https://www.nowjakarta.co.id/?p=7265</t>
  </si>
  <si>
    <t xml:space="preserve">Astha Records</t>
  </si>
  <si>
    <t xml:space="preserve">The Goods Dept PIM 2 (3rd floor) and Kemang Village (GF); Sonaa, Senayan Park</t>
  </si>
  <si>
    <t xml:space="preserve">https://www.instagram.com/astharecords</t>
  </si>
  <si>
    <t xml:space="preserve">Multiple in-store spots plus online store.</t>
  </si>
  <si>
    <t xml:space="preserve">https://www.instagram.com/astharecords/</t>
  </si>
  <si>
    <t xml:space="preserve">Atlas Records</t>
  </si>
  <si>
    <t xml:space="preserve">Jl. Kemang Selatan VIII No. 56C, Bangka, Mampang Prapatan, Jakarta Selatan</t>
  </si>
  <si>
    <t xml:space="preserve">New/current vinyl releases; curated independent shop</t>
  </si>
  <si>
    <t xml:space="preserve">https://www.instagram.com/atlas.recordstore</t>
  </si>
  <si>
    <t xml:space="preserve">Café on the first floor; IG says active in Jakarta and Bandung. Took part in Union Records vinyl pop-up market (Plaza Senayan, Sept 2023). Has a store page on recordstoreday.com; participating shop in RSD Indonesia 2024; profiled by Manual Jakarta.</t>
  </si>
  <si>
    <t xml:space="preserve">https://www.nowjakarta.co.id/?p=7265 | https://www.instagram.com/atlas.recordstore/ | https://mixmag.asia/read/jakarta-the-union-group-presents-union-records-vinyl-pop-up-market-events | https://recordstoreday.com/Store/24278 | https://manual.co.id/?p=47033 | https://www.merahputih.com/post/read/record-store-day-indonesia-2024-hadirkan-20-toko-rilisan-fisik</t>
  </si>
  <si>
    <t xml:space="preserve">Double Deers</t>
  </si>
  <si>
    <t xml:space="preserve">Jl. Jenggala II No. 3, Selong, Kebayoran Baru, Jakarta Selatan</t>
  </si>
  <si>
    <t xml:space="preserve">New vinyl; contemporary pop/indie (Adele, Sigur Ros, Amy Winehouse)</t>
  </si>
  <si>
    <t xml:space="preserve">Music platform that also runs music courses/academy and musician incubation alongside vinyl sales.</t>
  </si>
  <si>
    <t xml:space="preserve">Floating Store Record</t>
  </si>
  <si>
    <t xml:space="preserve">Blok M Square, Basement Blok B 211, Jl. Melawai, Kebayoran Baru, Jakarta Selatan</t>
  </si>
  <si>
    <t xml:space="preserve">Buy and sell vinyl records; worldwide shipping</t>
  </si>
  <si>
    <t xml:space="preserve">https://www.instagram.com/floatingstr_blokm</t>
  </si>
  <si>
    <t xml:space="preserve">Mentioned by NOW! Jakarta as 'Floating Record Store'.</t>
  </si>
  <si>
    <t xml:space="preserve">https://www.instagram.com/floatingstr_blokm/ | https://www.nowjakarta.co.id/?p=7265</t>
  </si>
  <si>
    <t xml:space="preserve">Gumarang Records Store</t>
  </si>
  <si>
    <t xml:space="preserve">Reggae, ska, punk vinyl</t>
  </si>
  <si>
    <t xml:space="preserve">https://www.instagram.com/gumarangrecordstore</t>
  </si>
  <si>
    <t xml:space="preserve">No physical shop; sells via Instagram.</t>
  </si>
  <si>
    <t xml:space="preserve">High Fidelity Records</t>
  </si>
  <si>
    <t xml:space="preserve">Pasar Santa, Kebayoran Baru, Jakarta Selatan</t>
  </si>
  <si>
    <t xml:space="preserve">Vinyl, CDs and cassettes</t>
  </si>
  <si>
    <t xml:space="preserve">Brick-and-mortar outlet at Pasar Santa sharing a spot with Laidback Blues (older press coverage).</t>
  </si>
  <si>
    <t xml:space="preserve">https://www.thejakartapost.com/news/2014/12/14/the-rise-independent-record-stores.html | https://www.nowjakarta.co.id/?p=7265</t>
  </si>
  <si>
    <t xml:space="preserve">Hysteria Musik</t>
  </si>
  <si>
    <t xml:space="preserve">Blok M Square, basement, Jl. Melawai, Kebayoran Baru, Jakarta Selatan</t>
  </si>
  <si>
    <t xml:space="preserve">Physical music releases (cassettes shown in coverage; confirm vinyl stock)</t>
  </si>
  <si>
    <t xml:space="preserve">Owned by Untung; about a decade in the Blok M Square basement record arcade (detikcom, 24 May 2026).</t>
  </si>
  <si>
    <t xml:space="preserve">https://news.detik.com/intermeso/d-8502511/menemukan-musik-yang-hilang-di-bawah-tanah-blok-m</t>
  </si>
  <si>
    <t xml:space="preserve">Jajan Kaset Record Store</t>
  </si>
  <si>
    <t xml:space="preserve">Komplek Pakuwon Blok GA No. 6A, Grogol Petamburan, Jakarta Barat; and Santa Modern Market Blok AKS No. 122-123, Jakarta Selatan</t>
  </si>
  <si>
    <t xml:space="preserve">https://www.instagram.com/jajankaset</t>
  </si>
  <si>
    <t xml:space="preserve">https://www.instagram.com/jajankaset/</t>
  </si>
  <si>
    <t xml:space="preserve">Kims Varia</t>
  </si>
  <si>
    <t xml:space="preserve">Blok M Square, Basement 1, Blok B No. 196-197, Jl. Melawai, Kebayoran Baru, Jakarta Selatan</t>
  </si>
  <si>
    <t xml:space="preserve">Used vinyl; Indonesian music, 1970s-80s records for collectors</t>
  </si>
  <si>
    <t xml:space="preserve">https://www.instagram.com/kimsvaria</t>
  </si>
  <si>
    <t xml:space="preserve">Founded by Gunawan Suhadi out of love for Indonesian music; in Blok M Square basement record arcade.</t>
  </si>
  <si>
    <t xml:space="preserve">La-La Records</t>
  </si>
  <si>
    <t xml:space="preserve">Kemang, Jakarta Selatan</t>
  </si>
  <si>
    <t xml:space="preserve">Vinyl from old local musicians to foreign releases</t>
  </si>
  <si>
    <t xml:space="preserve">https://www.instagram.com/lalarecords.jkt</t>
  </si>
  <si>
    <t xml:space="preserve">Laidback Blues Record Store</t>
  </si>
  <si>
    <t xml:space="preserve">Pasar Santa, Jl. Cipaku I, Kebayoran Baru, Jakarta Selatan</t>
  </si>
  <si>
    <t xml:space="preserve">New and used vinyl; blues</t>
  </si>
  <si>
    <t xml:space="preserve">https://www.instagram.com/laidbackbluesrecordstore</t>
  </si>
  <si>
    <t xml:space="preserve">Owner started by selling his own collection via Instagram before opening a small store at Pasar Santa.</t>
  </si>
  <si>
    <t xml:space="preserve">https://www.idntimes.com/men/attitude/rekomendasi-tempat-jual-piringan-hitam-c1c2-1-01-w4261-93b395 | https://www.thejakartapost.com/news/2014/12/14/the-rise-independent-record-stores.html</t>
  </si>
  <si>
    <t xml:space="preserve">Lawless Jakarta</t>
  </si>
  <si>
    <t xml:space="preserve">Records (RSD Indonesia participating shop)</t>
  </si>
  <si>
    <t xml:space="preserve">Participating shop in Record Store Day Indonesia 2024.</t>
  </si>
  <si>
    <t xml:space="preserve">https://www.merahputih.com/post/read/record-store-day-indonesia-2024-hadirkan-20-toko-rilisan-fisik</t>
  </si>
  <si>
    <t xml:space="preserve">Lian Records</t>
  </si>
  <si>
    <t xml:space="preserve">Jl. Surabaya No. 63, Menteng, Jakarta Pusat</t>
  </si>
  <si>
    <t xml:space="preserve">Used vinyl; Indonesian rarities, psych, rock, folk, American blues</t>
  </si>
  <si>
    <t xml:space="preserve">Family shop founded 1963 on the Jalan Surabaya antiques/record strip; featured in The Vinyl Factory's 'World's best record shops #145'.</t>
  </si>
  <si>
    <t xml:space="preserve">https://www.thevinylfactory.com/features/the-worlds-best-record-shops-145-lian-records-jakarta | https://theworld.org/stories/2018/03/24/jakarta-vinyl</t>
  </si>
  <si>
    <t xml:space="preserve">Millers Records Jakarta</t>
  </si>
  <si>
    <t xml:space="preserve">Pasar Santa, 1st floor Blok 16-19, Jl. Cipaku I, Kebayoran Baru, Jakarta Selatan</t>
  </si>
  <si>
    <t xml:space="preserve">Buy and sell vinyl</t>
  </si>
  <si>
    <t xml:space="preserve">https://www.instagram.com/millersrecordsjakarta</t>
  </si>
  <si>
    <t xml:space="preserve">Hours 11:00-20:00 per IG bio; sister account Millers Records Bali. Participating shop in RSD Indonesia 2024.</t>
  </si>
  <si>
    <t xml:space="preserve">https://www.instagram.com/millersrecordsjakarta/ | https://www.merahputih.com/post/read/record-store-day-indonesia-2024-hadirkan-20-toko-rilisan-fisik</t>
  </si>
  <si>
    <t xml:space="preserve">Monka Magic</t>
  </si>
  <si>
    <t xml:space="preserve">Jl. Kemang Raya No. 8B, Bangka, Mampang Prapatan, Jakarta Selatan</t>
  </si>
  <si>
    <t xml:space="preserve">Indie-artist LPs, reissues (Radiohead, New Order); merchandise</t>
  </si>
  <si>
    <t xml:space="preserve">Musikamar</t>
  </si>
  <si>
    <t xml:space="preserve">Blok M Square, Basement No. 165 V, Melawai, Kebayoran Baru, Jakarta Selatan</t>
  </si>
  <si>
    <t xml:space="preserve">Used and new LPs (e.g. Daft Punk, Mocca, She &amp; Him)</t>
  </si>
  <si>
    <t xml:space="preserve">Blok M Square basement record arcade.</t>
  </si>
  <si>
    <t xml:space="preserve">Paperpot Record</t>
  </si>
  <si>
    <t xml:space="preserve">Blok M Plaza, Jakarta Selatan</t>
  </si>
  <si>
    <t xml:space="preserve">Used vinyl; large stock (~13,000 records spanning 1920-2018 shown at a 2018 festival)</t>
  </si>
  <si>
    <t xml:space="preserve">Information dates from 2018-2019.</t>
  </si>
  <si>
    <t xml:space="preserve">https://www.suara.com/foto/2018/09/16/181500/festival-piringan-hitam | https://finance.detik.com/berita-ekonomi-bisnis/d-4606343/fenomena-bisnis-piringan-hitam-barang-jadul-laba-mantul</t>
  </si>
  <si>
    <t xml:space="preserve">PHR Record Store (Piringan Hitam Records)</t>
  </si>
  <si>
    <t xml:space="preserve">STC Senayan, LG 100A, Jl. Asia Afrika, Jakarta; second outlet at Bintaro Kebayoran Arcade 2, B1/3</t>
  </si>
  <si>
    <t xml:space="preserve">New sealed and used vinyl; turntables</t>
  </si>
  <si>
    <t xml:space="preserve">https://piringan-hitam.com</t>
  </si>
  <si>
    <t xml:space="preserve">https://www.instagram.com/phr.records</t>
  </si>
  <si>
    <t xml:space="preserve">Running since 2012; related to PHR Pressing (@phrpressing), Indonesia's vinyl pressing plant in West Jakarta. Participating shop in RSD Indonesia 2024.</t>
  </si>
  <si>
    <t xml:space="preserve">https://www.instagram.com/phr.records/ | https://www.nowjakarta.co.id/?p=7265 | https://id.jobplanet.com/companies/91173/info/piringan-hitam-recordstore-phr | https://www.merahputih.com/post/read/record-store-day-indonesia-2024-hadirkan-20-toko-rilisan-fisik</t>
  </si>
  <si>
    <t xml:space="preserve">Playlist Record Store</t>
  </si>
  <si>
    <t xml:space="preserve">New factory-sealed vinyl; turntables; merch</t>
  </si>
  <si>
    <t xml:space="preserve">https://www.instagram.com/playlist.record.store</t>
  </si>
  <si>
    <t xml:space="preserve">Tags Jakarta, Bandung and Bali; open 11-20 weekdays, 11-21 weekends.</t>
  </si>
  <si>
    <t xml:space="preserve">https://www.instagram.com/playlist.record.store/</t>
  </si>
  <si>
    <t xml:space="preserve">Ragtime Records</t>
  </si>
  <si>
    <t xml:space="preserve">Named by NOW! Jakarta as a place to buy vinyl; no address/contacts found; type unconfirmed.</t>
  </si>
  <si>
    <t xml:space="preserve">Substore</t>
  </si>
  <si>
    <t xml:space="preserve">Vacation Records</t>
  </si>
  <si>
    <t xml:space="preserve">House and disco records</t>
  </si>
  <si>
    <t xml:space="preserve">Vendor at Union Records vinyl pop-up (Plaza Senayan, Sept 2023); participating shop in Record Store Day Indonesia 2024.</t>
  </si>
  <si>
    <t xml:space="preserve">https://mixmag.asia/read/jakarta-the-union-group-presents-union-records-vinyl-pop-up-market-events | https://www.merahputih.com/post/read/record-store-day-indonesia-2024-hadirkan-20-toko-rilisan-fisik</t>
  </si>
  <si>
    <t xml:space="preserve">Variant Music Store (Vinyl Record Store Jakarta ID)</t>
  </si>
  <si>
    <t xml:space="preserve">Blok M Square, Basement unit B180, Jl. Melawai, Kebayoran Baru, Jakarta Selatan</t>
  </si>
  <si>
    <t xml:space="preserve">https://www.instagram.com/variant.musicstore</t>
  </si>
  <si>
    <t xml:space="preserve">Small kiosk in Blok M Square basement.</t>
  </si>
  <si>
    <t xml:space="preserve">https://www.instagram.com/variant.musicstore/</t>
  </si>
  <si>
    <t xml:space="preserve">Vinylisious</t>
  </si>
  <si>
    <t xml:space="preserve">First-press 1980s-90s albums in excellent condition</t>
  </si>
  <si>
    <t xml:space="preserve">https://www.instagram.com/vinylisious_store</t>
  </si>
  <si>
    <t xml:space="preserve">https://www.instagram.com/vinylisious_store/</t>
  </si>
  <si>
    <t xml:space="preserve">Warung Musik</t>
  </si>
  <si>
    <t xml:space="preserve">Thousands of records, from Indonesian pop to 1950s material</t>
  </si>
  <si>
    <t xml:space="preserve">Featured in VICE/Thump 'Is Vinyl Dead in Indonesia?' (older article reporting slipping vinyl sales); city inferred from Jakarta coverage.</t>
  </si>
  <si>
    <t xml:space="preserve">https://thump.vice.com/en/article/kbwm4z/is-vinyl-dead-in-indonesia</t>
  </si>
  <si>
    <t xml:space="preserve">Demajors Malang</t>
  </si>
  <si>
    <t xml:space="preserve">Malang</t>
  </si>
  <si>
    <t xml:space="preserve">Indonesian independent music releases (Demajors catalogue)</t>
  </si>
  <si>
    <t xml:space="preserve">https://www.instagram.com/demajors_mlg</t>
  </si>
  <si>
    <t xml:space="preserve">Malang account of Demajors, independent label/distributor.</t>
  </si>
  <si>
    <t xml:space="preserve">https://www.instagram.com/demajors_mlg/</t>
  </si>
  <si>
    <t xml:space="preserve">Mega Disc</t>
  </si>
  <si>
    <t xml:space="preserve">Surabaya</t>
  </si>
  <si>
    <t xml:space="preserve">Galeria Golf Citraland, Surabaya</t>
  </si>
  <si>
    <t xml:space="preserve">Music store (vinyl stock unconfirmed)</t>
  </si>
  <si>
    <t xml:space="preserve">https://www.instagram.com/megadisc.id</t>
  </si>
  <si>
    <t xml:space="preserve">Surfaced in vinyl-shop search for Surabaya; IG snippet does not mention vinyl - confirm.</t>
  </si>
  <si>
    <t xml:space="preserve">https://www.instagram.com/megadisc.id/</t>
  </si>
  <si>
    <t xml:space="preserve">S&amp;B Vinyl.id</t>
  </si>
  <si>
    <t xml:space="preserve">Buy/sell vinyl and music CDs; reseller and bulk prices</t>
  </si>
  <si>
    <t xml:space="preserve">https://www.instagram.com/spinnbars.id</t>
  </si>
  <si>
    <t xml:space="preserve">Tokopedia</t>
  </si>
  <si>
    <t xml:space="preserve">Orders via Tokopedia; Mon-Sat 08:00-17:00; IG profile location: Surabaya.</t>
  </si>
  <si>
    <t xml:space="preserve">https://www.instagram.com/spinnbars.id/</t>
  </si>
  <si>
    <t xml:space="preserve">Win Audiophile</t>
  </si>
  <si>
    <t xml:space="preserve">Pakuwon Trade Center, Surabaya</t>
  </si>
  <si>
    <t xml:space="preserve">https://www.instagram.com/winaudiophile</t>
  </si>
  <si>
    <t xml:space="preserve">Operating since 2004; hours 12:00-20:00. Related IG account @creativedisc_ listed in bio.</t>
  </si>
  <si>
    <t xml:space="preserve">https://www.instagram.com/winaudiophile/</t>
  </si>
  <si>
    <t xml:space="preserve">Lokananta Records</t>
  </si>
  <si>
    <t xml:space="preserve">Surakarta (Solo)</t>
  </si>
  <si>
    <t xml:space="preserve">Indonesia's national (state) record company; physical releases/reissues</t>
  </si>
  <si>
    <t xml:space="preserve">https://www.merahputih.com/post/read/record-store-day-indonesia-2024-hadirkan-20-toko-rilisan-fisik | https://soundstudiesblog.com/tag/recording/</t>
  </si>
  <si>
    <t xml:space="preserve">Bintaro Record Store</t>
  </si>
  <si>
    <t xml:space="preserve">Tangerang Selatan</t>
  </si>
  <si>
    <t xml:space="preserve">RUI Coffee, Taka House, Bintaro Sektor 9, Tangerang Selatan</t>
  </si>
  <si>
    <t xml:space="preserve">https://www.instagram.com/bintarorecords</t>
  </si>
  <si>
    <t xml:space="preserve">Open daily 11:00-21:00 inside RUI Coffee.</t>
  </si>
  <si>
    <t xml:space="preserve">https://www.instagram.com/bintarorecords/</t>
  </si>
  <si>
    <t xml:space="preserve">42 Music Store</t>
  </si>
  <si>
    <t xml:space="preserve">Yogyakarta</t>
  </si>
  <si>
    <t xml:space="preserve">Physical music releases</t>
  </si>
  <si>
    <t xml:space="preserve">Record Store Day Yogyakarta 2017 vendor; type unconfirmed.</t>
  </si>
  <si>
    <t xml:space="preserve">https://www.medcom.id/hiburan/musik/0kpJXw7N-record-store-day-yogyakarta-diisi-perilisan-vinyl-shaggydog-dom-65-dan-zoo | https://mojok.co/liputan/asyik-mendengarkan-musik-dari-rilisan-fisik/</t>
  </si>
  <si>
    <t xml:space="preserve">Dcell Jogja Store</t>
  </si>
  <si>
    <t xml:space="preserve">Panggungharjo, Sewon, Bantul, DI Yogyakarta</t>
  </si>
  <si>
    <t xml:space="preserve">Vinyl, cassettes, CDs, amplifiers; Oasis, Radiohead, Pink Floyd popular; prices from ~Rp20k</t>
  </si>
  <si>
    <t xml:space="preserve">Opened 2018 from the owner's analog-music collecting hobby; popular with Gen Z/millennials, buyers as far as the Netherlands (Mojok).</t>
  </si>
  <si>
    <t xml:space="preserve">https://mojok.co/liputan/sosok/toko-musik-dcell-jogja-store-langganan-gen-z-dan-milenial/ | https://mojok.co/liputan/bidikan/toko-musik-analog-dcell-jogja-eksis-sampai-belanda/</t>
  </si>
  <si>
    <t xml:space="preserve">Deep Store</t>
  </si>
  <si>
    <t xml:space="preserve">Listed as Jogja Record Store Club partner in a 2015 community publication; type unconfirmed.</t>
  </si>
  <si>
    <t xml:space="preserve">https://pustaka.taratsa.id/download/57/pdf/57.pdf</t>
  </si>
  <si>
    <t xml:space="preserve">Malaikat Records</t>
  </si>
  <si>
    <t xml:space="preserve">Vinyl records only</t>
  </si>
  <si>
    <t xml:space="preserve">https://www.instagram.com/malaikatrecords</t>
  </si>
  <si>
    <t xml:space="preserve">Tagged locations include a roastery and a bakery in Yogyakarta.</t>
  </si>
  <si>
    <t xml:space="preserve">https://www.instagram.com/malaikatrecords/</t>
  </si>
  <si>
    <t xml:space="preserve">Mantrino Records</t>
  </si>
  <si>
    <t xml:space="preserve">GACA The Publik Haus (listed location), Yogyakarta</t>
  </si>
  <si>
    <t xml:space="preserve">Record store and mobile sound system crew</t>
  </si>
  <si>
    <t xml:space="preserve">https://www.instagram.com/mantrino.records</t>
  </si>
  <si>
    <t xml:space="preserve">Hours 15:00-21:00; phone contact listed in IG bio.</t>
  </si>
  <si>
    <t xml:space="preserve">https://www.instagram.com/mantrino.records/</t>
  </si>
  <si>
    <t xml:space="preserve">Samstrong Records</t>
  </si>
  <si>
    <t xml:space="preserve">Jogja Record Store Club partner (2015 community publication) and Record Store Day Yogyakarta 2017 vendor; type unconfirmed.</t>
  </si>
  <si>
    <t xml:space="preserve">https://pustaka.taratsa.id/download/57/pdf/57.pdf | https://www.medcom.id/hiburan/musik/0kpJXw7N-record-store-day-yogyakarta-diisi-perilisan-vinyl-shaggydog-dom-65-dan-zoo | https://mojok.co/liputan/asyik-mendengarkan-musik-dari-rilisan-fisik/</t>
  </si>
  <si>
    <t xml:space="preserve">Vinyl Piringan Hitam Jogja (koleksivinyl)</t>
  </si>
  <si>
    <t xml:space="preserve">https://www.instagram.com/koleksivinyl</t>
  </si>
  <si>
    <t xml:space="preserve">IG bio says sales only through Tokopedia.</t>
  </si>
  <si>
    <t xml:space="preserve">https://www.instagram.com/koleksivinyl/</t>
  </si>
  <si>
    <t xml:space="preserve">Yogya Music Store</t>
  </si>
  <si>
    <t xml:space="preserve">Taille reseller</t>
  </si>
  <si>
    <t xml:space="preserve">Gros items (preuves)</t>
  </si>
  <si>
    <t xml:space="preserve">Priorité</t>
  </si>
  <si>
    <t xml:space="preserve">Spécialité (langues / produits)</t>
  </si>
  <si>
    <t xml:space="preserve">Marketplaces (Shopee, Lazada, Tokopedia…)</t>
  </si>
  <si>
    <t xml:space="preserve">D Supreme Co., Ltd. (บริษัท ดี ซูพรีม จำกัด)</t>
  </si>
  <si>
    <t xml:space="preserve">Gros</t>
  </si>
  <si>
    <t xml:space="preserve">Distributes sealed Pokémon TCG product nationwide (booster boxes, premium collections)</t>
  </si>
  <si>
    <t xml:space="preserve">Official sole distributor of Pokémon Trading Card Game in Thailand (per PR)</t>
  </si>
  <si>
    <t xml:space="preserve">Brand Buffet PR (29 Apr 2026) calls it the sole Pokémon TCG distributor in Thailand; partnered with B2S (Central Retail) on the 'B2S Unseal Go Japan' campaign with The Pokémon Company's support. Contact details not found; HQ city not stated in source.</t>
  </si>
  <si>
    <t xml:space="preserve">https://www.brandbuffet.in.th/?p=28007</t>
  </si>
  <si>
    <t xml:space="preserve">B2S</t>
  </si>
  <si>
    <t xml:space="preserve">Nationwide B2S bookstore branches (Central Retail)</t>
  </si>
  <si>
    <t xml:space="preserve">Premium collection products in Pokémon PLAY LAB</t>
  </si>
  <si>
    <t xml:space="preserve">Pokémon TCG sets &amp; accessories; Pokémon PLAY LAB space; tournaments</t>
  </si>
  <si>
    <t xml:space="preserve">Runs B2S X Pokémon campaigns (B2S-exclusive promo card), the Pokémon PLAY LAB space at B2S CentralWorld, Pokémon PLAY LAB Fun Fest (6-12 Mar), and tournaments at Metro Mall venues (Feb-May 2026). Partner of sole distributor D Supreme. Separate entry for B2S Central Westgate (Nonthaburi).</t>
  </si>
  <si>
    <t xml:space="preserve">https://www.marketingoops.com/?p=290143 | https://www.marketingoops.com/?p=360729 | https://www.brandbuffet.in.th/?p=28007 | https://www.lemon8-app.com/@cattymeaw5/7359393930313646609?region=th</t>
  </si>
  <si>
    <t xml:space="preserve">CARDWORLD BKK</t>
  </si>
  <si>
    <t xml:space="preserve">Slow Combo Building, Soi Chula 50, Pathum Wan, Bangkok (near MRT Samyan Exit 2)</t>
  </si>
  <si>
    <t xml:space="preserve">PSA/BGS/SGC graded slabs; bills itself as Thailand's biggest card shop</t>
  </si>
  <si>
    <t xml:space="preserve">Sports cards, Pokémon &amp; general TCG; graded slabs (PSA/BGS/SGC); live auctions</t>
  </si>
  <si>
    <t xml:space="preserve">https://www.instagram.com/cardworld.bkk</t>
  </si>
  <si>
    <t xml:space="preserve">Oui</t>
  </si>
  <si>
    <t xml:space="preserve">TCGTalk directory rating 5.0 (297 reviews); runs live auctions</t>
  </si>
  <si>
    <t xml:space="preserve">https://tcgtalk.com/guides/tcg-shops-thailand | https://tcgtalk.com/guides/thailand-pokemon-tradeshows-2026 | https://www.instagram.com/cardworld.bkk/ | https://www.lemon8-app.com/@white8z/7619997728135561749?region=th</t>
  </si>
  <si>
    <t xml:space="preserve">Nx Gallery</t>
  </si>
  <si>
    <t xml:space="preserve">Wang Thonglang, Bangkok (outlets near BTS Ari, BTS Phra Khanong, SC Plaza Taling Chan per TCGTalk)</t>
  </si>
  <si>
    <t xml:space="preserve">Pokémon TCG, MTG, One Piece, Union Arena, Gundam; card &amp; board game café</t>
  </si>
  <si>
    <t xml:space="preserve">LINE @nxgallery; multiple outlets (BTS Ari, BTS Phra Khanong, SC Plaza Taling Chan) plus Nx Gallery East in Rayong; TCGTalk 4.9 (256); closed Wednesdays</t>
  </si>
  <si>
    <t xml:space="preserve">https://tcgtalk.com/guides/tcg-shops-thailand | https://tcgtalk.com/guides/thailand-pokemon-tradeshows-2026</t>
  </si>
  <si>
    <t xml:space="preserve">Pokémon Center Bangkok</t>
  </si>
  <si>
    <t xml:space="preserve">CentralWorld, C604/2 Level 6, 4, 4/1-4/2, 4/4 Ratchadamri Rd, Pathum Wan, Bangkok 10330</t>
  </si>
  <si>
    <t xml:space="preserve">Official sealed TCG product (largest Pokémon Center outside Japan)</t>
  </si>
  <si>
    <t xml:space="preserve">Official Pokémon store: TCG sealed product, plush, gachapon, merchandise</t>
  </si>
  <si>
    <t xml:space="preserve">https://www.facebook.com/PokemonThailand</t>
  </si>
  <si>
    <t xml:space="preserve">Official store announced May 2026 (largest Pokémon Center outside Japan); opening slated for late 2026 (Dec 2026 per TCGTalk), so it is not confirmed open as of 8 Oct 2026. The Facebook link is the official Pokémon Thailand page.</t>
  </si>
  <si>
    <t xml:space="preserve">https://bulbapedia.bulbagarden.net/wiki/Pok%C3%A9mon_Center_Bangkok | https://www.khaosodenglish.com/life/arts/2026/05/05/thailand-to-get-first-pokemon-center-at-centralworld-in-2026/ | https://sasom.co.th/articles/pok-mon-centre-bangkok-centralworld--thailand-s-first-store-and-the-largest-outside-japan-20260517 | https://www.elitefourum.com/t/pokemon-center-bangkok-to-open-in-2026/62263</t>
  </si>
  <si>
    <t xml:space="preserve">Pika Trading</t>
  </si>
  <si>
    <t xml:space="preserve">Nakhon Ratchasima</t>
  </si>
  <si>
    <t xml:space="preserve">3rd Floor, Terminal 21 Korat, Nakhon Ratchasima</t>
  </si>
  <si>
    <t xml:space="preserve">Authorized distributor of sealed Thai-language Pokémon TCG product (per its Lazada listing)</t>
  </si>
  <si>
    <t xml:space="preserve">Thai-language Pokémon TCG (sealed booster packs/boxes); distributor</t>
  </si>
  <si>
    <t xml:space="preserve">https://www.facebook.com/pikatrading.th</t>
  </si>
  <si>
    <t xml:space="preserve">Lazada: Pika Trading</t>
  </si>
  <si>
    <t xml:space="preserve">FB page describes it as a Pokémon card distributor; Lazada listing (SV11S Thai pack) names Pika Trading as authorized distributor of Thai Pokémon cards</t>
  </si>
  <si>
    <t xml:space="preserve">https://www.facebook.com/pikatrading.th/ | https://www.lazada.co.th/products/pokemon-booster-pack-sv11s-pokemon-tcg-thai-version-i5799251164.html</t>
  </si>
  <si>
    <t xml:space="preserve">B2S Central Westgate (Pokémon zone)</t>
  </si>
  <si>
    <t xml:space="preserve">Nonthaburi</t>
  </si>
  <si>
    <t xml:space="preserve">B2S, Central Westgate, Bang Yai, Nonthaburi</t>
  </si>
  <si>
    <t xml:space="preserve">Pokémon TCG boxes</t>
  </si>
  <si>
    <t xml:space="preserve">Pokémon zone: TCG packs &amp; boxes, plush, models, play tables</t>
  </si>
  <si>
    <t xml:space="preserve">Branch of B2S chain (see B2S entry); Lemon8 post ~2024</t>
  </si>
  <si>
    <t xml:space="preserve">https://www.lemon8-app.com/@pommeptr/7319060185409044994?region=us</t>
  </si>
  <si>
    <t xml:space="preserve">Big Bear Cards and Hobby</t>
  </si>
  <si>
    <t xml:space="preserve">Thanya Park, Srinagarindra Rd, Suan Luang, Bangkok</t>
  </si>
  <si>
    <t xml:space="preserve">Moyen</t>
  </si>
  <si>
    <t xml:space="preserve">MTG (WPN Premium), Pokémon, Flesh and Blood, Altered, Transformers</t>
  </si>
  <si>
    <t xml:space="preserve">TCGTalk 4.7 (18)</t>
  </si>
  <si>
    <t xml:space="preserve">https://tcgtalk.com/guides/tcg-shops-thailand</t>
  </si>
  <si>
    <t xml:space="preserve">Nut Card</t>
  </si>
  <si>
    <t xml:space="preserve">Room A513, 5th Floor, Mega Plaza Saphan Lek (Wang Burapha), Maha Chai Rd, Phra Nakhon, Bangkok</t>
  </si>
  <si>
    <t xml:space="preserve">Pokémon TCG EN/JP/TH; Yu-Gi-Oh!, MTG, One Piece, Cookie Run, Braverse</t>
  </si>
  <si>
    <t xml:space="preserve">https://www.instagram.com/nutcard.th</t>
  </si>
  <si>
    <t xml:space="preserve">https://www.facebook.com/NutCardTCG</t>
  </si>
  <si>
    <t xml:space="preserve">Hosts Pokémon TCG Town League events; FB page ~27.8k likes; TCGTalk 4.6 (229)</t>
  </si>
  <si>
    <t xml:space="preserve">https://tcgtalk.com/guides/tcg-shops-thailand | https://www.facebook.com/NutCardTCG/ | https://www.instagram.com/nutcard.th/</t>
  </si>
  <si>
    <t xml:space="preserve">Pokémon card booth at Mixt Chatuchak (Zone A, Booth Y5)</t>
  </si>
  <si>
    <t xml:space="preserve">2nd Floor, Zone A, Booth Y5 (near escalator), Mixt Chatuchak, Bangkok (near BTS Mo Chit / MRT Chatuchak Park)</t>
  </si>
  <si>
    <t xml:space="preserve">Stand / marché</t>
  </si>
  <si>
    <t xml:space="preserve">Sells Pokémon boxes (ยกกล่อง) as well as single packs</t>
  </si>
  <si>
    <t xml:space="preserve">Pokémon cards: sealed boxes and packs</t>
  </si>
  <si>
    <t xml:space="preserve">Shop name not shown in result; Lemon8 post by @bearcarecard (~2024) may be the shop's own account</t>
  </si>
  <si>
    <t xml:space="preserve">https://www.lemon8-app.com/@bearcarecard/7409195085017498128?region=us</t>
  </si>
  <si>
    <t xml:space="preserve">VG card shop</t>
  </si>
  <si>
    <t xml:space="preserve">3rd Floor, Room W3-08, The Old Siam Plaza, Pahurat, Bangkok</t>
  </si>
  <si>
    <t xml:space="preserve">Thai-language cards: Pokémon, Vanguard, Buddyfight, Battle Spirits; sleeves, deck boxes, playmats</t>
  </si>
  <si>
    <t xml:space="preserve">https://vgcardshop.com</t>
  </si>
  <si>
    <t xml:space="preserve">https://www.facebook.com/vgcardshop</t>
  </si>
  <si>
    <t xml:space="preserve">090-279-7603</t>
  </si>
  <si>
    <t xml:space="preserve">Open Wed-Sun 11:00-17:30; posted singles for sale and a June 2026 event schedule; events posted Aug 2026</t>
  </si>
  <si>
    <t xml:space="preserve">https://www.facebook.com/vgcardshop/</t>
  </si>
  <si>
    <t xml:space="preserve">CaptainCards</t>
  </si>
  <si>
    <t xml:space="preserve">Pathum Thani</t>
  </si>
  <si>
    <t xml:space="preserve">3rd Floor (West zone), Future Park Rangsit, Pathum Thani</t>
  </si>
  <si>
    <t xml:space="preserve">Thai-language Pokémon TCG; TCG accessories</t>
  </si>
  <si>
    <t xml:space="preserve">https://www.facebook.com/captaincards</t>
  </si>
  <si>
    <t xml:space="preserve">089-788-8741</t>
  </si>
  <si>
    <t xml:space="preserve">https://www.facebook.com/captaincards/</t>
  </si>
  <si>
    <t xml:space="preserve">Nx Gallery East</t>
  </si>
  <si>
    <t xml:space="preserve">Rayong</t>
  </si>
  <si>
    <t xml:space="preserve">3rd Floor, Central Plaza Rayong</t>
  </si>
  <si>
    <t xml:space="preserve">Pokémon, MTG, One Piece, Union Arena, Gundam; TCG accessories</t>
  </si>
  <si>
    <t xml:space="preserve">https://www.facebook.com/nxgalleryeast</t>
  </si>
  <si>
    <t xml:space="preserve">063-995-1716</t>
  </si>
  <si>
    <t xml:space="preserve">Card &amp; board game café; branch of Nx Gallery</t>
  </si>
  <si>
    <t xml:space="preserve">https://www.facebook.com/nxgalleryeast/</t>
  </si>
  <si>
    <t xml:space="preserve">CutieLand By POKO</t>
  </si>
  <si>
    <t xml:space="preserve">Petit</t>
  </si>
  <si>
    <t xml:space="preserve">Pre-orders of TCG &amp; collectible cards: One Piece, Pokémon, Lorcana; toy store</t>
  </si>
  <si>
    <t xml:space="preserve">https://www.facebook.com/cutieland.bypoko</t>
  </si>
  <si>
    <t xml:space="preserve">082-920-3223</t>
  </si>
  <si>
    <t xml:space="preserve">https://www.facebook.com/cutieland.bypoko/</t>
  </si>
  <si>
    <t xml:space="preserve">Thai Pkmn</t>
  </si>
  <si>
    <t xml:space="preserve">Pokémon cards (Thai-based retailer), ships internationally</t>
  </si>
  <si>
    <t xml:space="preserve">https://www.instagram.com/thai_pkmn</t>
  </si>
  <si>
    <t xml:space="preserve">~900 followers, 225 posts</t>
  </si>
  <si>
    <t xml:space="preserve">https://www.instagram.com/thai_pkmn/</t>
  </si>
  <si>
    <t xml:space="preserve">Victory Card Shop</t>
  </si>
  <si>
    <t xml:space="preserve">Buddyfight, Vanguard, Battle Spirits (Pokémon not confirmed; surfaced in Pokémon booster-box search)</t>
  </si>
  <si>
    <t xml:space="preserve">https://www.facebook.com/VictoryCardShop</t>
  </si>
  <si>
    <t xml:space="preserve">https://www.facebook.com/VictoryCardShop/</t>
  </si>
  <si>
    <t xml:space="preserve">สหพลการการ์ด (Sahaphon Card)</t>
  </si>
  <si>
    <t xml:space="preserve">Ayutthaya</t>
  </si>
  <si>
    <t xml:space="preserve">Pokémon, Battle of Talingchan, hololive, Bushiroad, Bandai products</t>
  </si>
  <si>
    <t xml:space="preserve">https://www.facebook.com/SKC3846</t>
  </si>
  <si>
    <t xml:space="preserve">Claims 100% licensed products</t>
  </si>
  <si>
    <t xml:space="preserve">https://www.facebook.com/SKC3846/</t>
  </si>
  <si>
    <t xml:space="preserve">Cardify</t>
  </si>
  <si>
    <t xml:space="preserve">2nd Floor, Soi Phutthamonthon Sai 1 (Buddhamonthon Lane 1), Phasi Charoen, Bangkok</t>
  </si>
  <si>
    <t xml:space="preserve">One Piece, Pokémon, Vanguard, Digimon, Dragon Ball, Ultraman</t>
  </si>
  <si>
    <t xml:space="preserve">TCGTalk 5.0 (117); closed Mondays</t>
  </si>
  <si>
    <t xml:space="preserve">GL Card Game Shop</t>
  </si>
  <si>
    <t xml:space="preserve">Soi Sathorn 11 Yaek 5, opposite Assumption College Primary Section, Bangkok</t>
  </si>
  <si>
    <t xml:space="preserve">Card game shop (Pokémon offer to verify)</t>
  </si>
  <si>
    <t xml:space="preserve">https://www.facebook.com/glcardshop</t>
  </si>
  <si>
    <t xml:space="preserve">https://www.facebook.com/glcardshop/</t>
  </si>
  <si>
    <t xml:space="preserve">Nova TCG Thailand</t>
  </si>
  <si>
    <t xml:space="preserve">Ram Inthra 14 area, Bang Khen, Bangkok</t>
  </si>
  <si>
    <t xml:space="preserve">Pokémon TCG with focus on Chinese-version (CN) Pokémon cards, accessories, toys, figures</t>
  </si>
  <si>
    <t xml:space="preserve">https://www.instagram.com/novatcg.thailand</t>
  </si>
  <si>
    <t xml:space="preserve">TCGTalk 3.8 (26)</t>
  </si>
  <si>
    <t xml:space="preserve">https://tcgtalk.com/guides/tcg-shops-thailand | https://www.instagram.com/novatcg.thailand/</t>
  </si>
  <si>
    <t xml:space="preserve">Pro Card</t>
  </si>
  <si>
    <t xml:space="preserve">5th Floor, MBK Center, Pathum Wan, Bangkok</t>
  </si>
  <si>
    <t xml:space="preserve">TCG card shop (Pokémon offer to verify)</t>
  </si>
  <si>
    <t xml:space="preserve">https://www.facebook.com/ProcardTCG</t>
  </si>
  <si>
    <t xml:space="preserve">https://www.facebook.com/ProcardTCG/</t>
  </si>
  <si>
    <t xml:space="preserve">Sedai (เซได)</t>
  </si>
  <si>
    <t xml:space="preserve">Sukhumvit 33, near BTS Phrom Phong, Bangkok</t>
  </si>
  <si>
    <t xml:space="preserve">Pokémon TCG plus art supplies</t>
  </si>
  <si>
    <t xml:space="preserve">https://www.facebook.com/Sedai4.5</t>
  </si>
  <si>
    <t xml:space="preserve">Sit and Play</t>
  </si>
  <si>
    <t xml:space="preserve">Pokémon TCG, MTG, Disney Lorcana, One Piece</t>
  </si>
  <si>
    <t xml:space="preserve">https://www.facebook.com/sitandplay.game</t>
  </si>
  <si>
    <t xml:space="preserve">https://www.facebook.com/sitandplay.game/</t>
  </si>
  <si>
    <t xml:space="preserve">The Card Shop</t>
  </si>
  <si>
    <t xml:space="preserve">Card games &amp; collectible cards: One Piece Card Game, Union Arena (Pokémon not confirmed)</t>
  </si>
  <si>
    <t xml:space="preserve">https://www.facebook.com/TheCardShopTH</t>
  </si>
  <si>
    <t xml:space="preserve">086-056-8454</t>
  </si>
  <si>
    <t xml:space="preserve">https://www.facebook.com/TheCardShopTH/</t>
  </si>
  <si>
    <t xml:space="preserve">TMshop TCG Store</t>
  </si>
  <si>
    <t xml:space="preserve">40/11 Soi Sukhumvit 60/1, Bang Chak, Phra Khanong, Bangkok</t>
  </si>
  <si>
    <t xml:space="preserve">Collectible &amp; TCG cards (Vanguard etc.)</t>
  </si>
  <si>
    <t xml:space="preserve">https://www.facebook.com/tmcardshop</t>
  </si>
  <si>
    <t xml:space="preserve">https://www.facebook.com/tmcardshop/</t>
  </si>
  <si>
    <t xml:space="preserve">Wuwam Card Shop (วู่วามการ์ดชอป)</t>
  </si>
  <si>
    <t xml:space="preserve">Room B236, 2nd Floor, Mega Plaza Saphan Lek, Bangkok</t>
  </si>
  <si>
    <t xml:space="preserve">Pokémon EN/JP; buy, sell &amp; trade</t>
  </si>
  <si>
    <t xml:space="preserve">https://www.facebook.com/wuwamcardshop</t>
  </si>
  <si>
    <t xml:space="preserve">Mentions Icon Siam / River City (events or branches - unclear)</t>
  </si>
  <si>
    <t xml:space="preserve">https://www.facebook.com/wuwamcardshop/</t>
  </si>
  <si>
    <t xml:space="preserve">Tama Card</t>
  </si>
  <si>
    <t xml:space="preserve">Buriram</t>
  </si>
  <si>
    <t xml:space="preserve">Card shop (surfaced in Pokémon booster-box searches)</t>
  </si>
  <si>
    <t xml:space="preserve">https://www.facebook.com/TAMACardBuriram</t>
  </si>
  <si>
    <t xml:space="preserve">https://www.facebook.com/TAMACardBuriram/</t>
  </si>
  <si>
    <t xml:space="preserve">P'N Card Games Shop</t>
  </si>
  <si>
    <t xml:space="preserve">Soi 7, behind Chiang Mai University (near the Faculty of Engineering gate), Chiang Mai</t>
  </si>
  <si>
    <t xml:space="preserve">Card game shop incl. Pokémon</t>
  </si>
  <si>
    <t xml:space="preserve">https://www.instagram.com/pncardgames</t>
  </si>
  <si>
    <t xml:space="preserve">https://www.facebook.com/PNCardGames</t>
  </si>
  <si>
    <t xml:space="preserve">Shopee</t>
  </si>
  <si>
    <t xml:space="preserve">FB page 'P'N Card Game' (~4,380 followers); held a card game tournament in Chiang Mai on 3-4 Oct 2026; sells via Facebook and Shopee (per IG hashtags)</t>
  </si>
  <si>
    <t xml:space="preserve">https://www.instagram.com/pncardgames/ | https://www.facebook.com/PNCardGames/</t>
  </si>
  <si>
    <t xml:space="preserve">NK Card Hatyai</t>
  </si>
  <si>
    <t xml:space="preserve">Hat Yai</t>
  </si>
  <si>
    <t xml:space="preserve">Pokémon cards and other TCG</t>
  </si>
  <si>
    <t xml:space="preserve">https://www.facebook.com/nkcardhatyai</t>
  </si>
  <si>
    <t xml:space="preserve">https://www.facebook.com/nkcardhatyai/</t>
  </si>
  <si>
    <t xml:space="preserve">PokéCore Hua-Hin TCG Shop.TH</t>
  </si>
  <si>
    <t xml:space="preserve">Hua Hin</t>
  </si>
  <si>
    <t xml:space="preserve">Near Central Hua Hin, opposite Wat Hua Hin, Prachuap Khiri Khan</t>
  </si>
  <si>
    <t xml:space="preserve">Pokémon TCG</t>
  </si>
  <si>
    <t xml:space="preserve">TCGTalk 4.7 (14)</t>
  </si>
  <si>
    <t xml:space="preserve">DonburiShop TCG KK</t>
  </si>
  <si>
    <t xml:space="preserve">Khon Kaen</t>
  </si>
  <si>
    <t xml:space="preserve">TCG shop (surfaced in Pokémon card-shop searches)</t>
  </si>
  <si>
    <t xml:space="preserve">https://www.facebook.com/DonburiShopkhonkaen</t>
  </si>
  <si>
    <t xml:space="preserve">Iconic - Trading card game</t>
  </si>
  <si>
    <t xml:space="preserve">Dealer for Vanguard, One Piece, Yu-Gi-Oh, Pokémon</t>
  </si>
  <si>
    <t xml:space="preserve">https://www.facebook.com/p/Iconic-Trading-card-game-61576280130672</t>
  </si>
  <si>
    <t xml:space="preserve">Page describes itself as distributor/dealer of several card games</t>
  </si>
  <si>
    <t xml:space="preserve">https://www.facebook.com/p/Iconic-Trading-card-game-61576280130672/</t>
  </si>
  <si>
    <t xml:space="preserve">Trick Room (Trick Room Card Shop)</t>
  </si>
  <si>
    <t xml:space="preserve">4th Floor, Central Korat, Nakhon Ratchasima</t>
  </si>
  <si>
    <t xml:space="preserve">Pokémon TCG, Battle of Talingchan, Beyblade X; play space / community hub</t>
  </si>
  <si>
    <t xml:space="preserve">https://www.facebook.com/TrickRoomCardShop</t>
  </si>
  <si>
    <t xml:space="preserve">+66 82 906 6501</t>
  </si>
  <si>
    <t xml:space="preserve">trickroomcardgame@gmail.com</t>
  </si>
  <si>
    <t xml:space="preserve">Has a Linktree; posted about Card Cult &amp; Collectibles Convention 2026</t>
  </si>
  <si>
    <t xml:space="preserve">https://www.facebook.com/TrickRoomCardShop/</t>
  </si>
  <si>
    <t xml:space="preserve">D day card</t>
  </si>
  <si>
    <t xml:space="preserve">20/198-199 Moo 10, Soi Day Night, Pattaya Tai Rd (next to Tuk Com Pattaya South), Nong Prue, Bang Lamung, Chonburi</t>
  </si>
  <si>
    <t xml:space="preserve">Card game products &amp; accessories (Pokémon offer to verify)</t>
  </si>
  <si>
    <t xml:space="preserve">https://www.facebook.com/p/D-day-card-100063579728865</t>
  </si>
  <si>
    <t xml:space="preserve">+66 84 567 2356</t>
  </si>
  <si>
    <t xml:space="preserve">https://www.facebook.com/p/D-day-card-100063579728865/</t>
  </si>
  <si>
    <t xml:space="preserve">TCGIgnition</t>
  </si>
  <si>
    <t xml:space="preserve">Phuket</t>
  </si>
  <si>
    <t xml:space="preserve">369/90 Yaowarat Rd (Soi Yaowarat 5), Talat Yai, Mueang Phuket</t>
  </si>
  <si>
    <t xml:space="preserve">Card game hub in Phuket (Pokémon offer not confirmed in snippet)</t>
  </si>
  <si>
    <t xml:space="preserve">https://www.facebook.com/p/TCGIgnition-100079263833060</t>
  </si>
  <si>
    <t xml:space="preserve">+66 88 956 1424</t>
  </si>
  <si>
    <t xml:space="preserve">https://www.facebook.com/p/TCGIgnition-100079263833060/</t>
  </si>
  <si>
    <t xml:space="preserve">BLACK CARD TCG</t>
  </si>
  <si>
    <t xml:space="preserve">Ratchaburi</t>
  </si>
  <si>
    <t xml:space="preserve">Moo 3, Pak Raet, Ban Pong, Ratchaburi (event post also references Always One Plaza 5th Fl, Bangkok)</t>
  </si>
  <si>
    <t xml:space="preserve">Pokémon, One Piece and other card games</t>
  </si>
  <si>
    <t xml:space="preserve">https://www.facebook.com/p/BLACK-CARD-TCG-61583179858522</t>
  </si>
  <si>
    <t xml:space="preserve">097-146-5424</t>
  </si>
  <si>
    <t xml:space="preserve">Event dated 20 Sep 2026</t>
  </si>
  <si>
    <t xml:space="preserve">https://www.facebook.com/p/BLACK-CARD-TCG-61583179858522/</t>
  </si>
  <si>
    <t xml:space="preserve">BooM Card Games</t>
  </si>
  <si>
    <t xml:space="preserve">Surat Thani</t>
  </si>
  <si>
    <t xml:space="preserve">Sri Chaiya Rd, Talat, Mueang Surat Thani</t>
  </si>
  <si>
    <t xml:space="preserve">MTG, Vanguard, Yu-Gi-Oh, Battle of Talingchan, Lorcana; sleeves, deck boxes (Pokémon not listed in snippet)</t>
  </si>
  <si>
    <t xml:space="preserve">https://www.facebook.com/BooMCardGames</t>
  </si>
  <si>
    <t xml:space="preserve">https://www.facebook.com/BooMCardGames/</t>
  </si>
  <si>
    <t xml:space="preserve">A&amp;E บุ๊ค แอนด์ การ์ด (A&amp;E Book and Card)</t>
  </si>
  <si>
    <t xml:space="preserve">Inconnu</t>
  </si>
  <si>
    <t xml:space="preserve">Books &amp; cards (surfaced in Pokémon booster-box searches)</t>
  </si>
  <si>
    <t xml:space="preserve">https://www.facebook.com/p/AE-%E0%B8%9A%E0%B8%B8%E0%B9%8A%E0%B8%84-%E0%B9%81%E0%B8%AD%E0%B8%99%E0%B8%94%E0%B9%8C-%E0%B8%81%E0%B8%B2%E0%B8%A3%E0%B9%8C%E0%B8%94-100083350831800</t>
  </si>
  <si>
    <t xml:space="preserve">https://www.facebook.com/p/AE-%E0%B8%9A%E0%B8%B8%E0%B9%8A%E0%B8%84-%E0%B9%81%E0%B8%AD%E0%B8%99%E0%B8%94%E0%B9%8C-%E0%B8%81%E0%B8%B2%E0%B8%A3%E0%B9%8C%E0%B8%94-100083350831800/</t>
  </si>
  <si>
    <t xml:space="preserve">ANNA SHOP</t>
  </si>
  <si>
    <t xml:space="preserve">Surfaced in Thai search for Japanese Pokémon booster boxes; details not visible</t>
  </si>
  <si>
    <t xml:space="preserve">https://www.facebook.com/p/ANNA-SHOP-100063683825022</t>
  </si>
  <si>
    <t xml:space="preserve">https://www.facebook.com/p/ANNA-SHOP-100063683825022/</t>
  </si>
  <si>
    <t xml:space="preserve">Mikitoy Andcards</t>
  </si>
  <si>
    <t xml:space="preserve">Toys and trading cards (surfaced in Pokémon card-shop searches)</t>
  </si>
  <si>
    <t xml:space="preserve">https://www.facebook.com/pongpan.nookeaw</t>
  </si>
  <si>
    <t xml:space="preserve">https://www.facebook.com/pongpan.nookeaw/</t>
  </si>
  <si>
    <t xml:space="preserve">มอนอ Card Club (Mornor Card Club)</t>
  </si>
  <si>
    <t xml:space="preserve">Card club / card shop (surfaced in Pokémon card-shop searches)</t>
  </si>
  <si>
    <t xml:space="preserve">https://www.facebook.com/MornorCardClub</t>
  </si>
  <si>
    <t xml:space="preserve">ร้านสุภาพบุรุษ (SUPARBTOY)</t>
  </si>
  <si>
    <t xml:space="preserve">Toy &amp; card seller (surfaced in Pokémon booster-box searches)</t>
  </si>
  <si>
    <t xml:space="preserve">https://www.facebook.com/SUPARBTOY</t>
  </si>
  <si>
    <t xml:space="preserve">https://www.facebook.com/SUPARBTOY/</t>
  </si>
  <si>
    <t xml:space="preserve">Cardmaster</t>
  </si>
  <si>
    <t xml:space="preserve">Pokémon card shop recommended for Thai sets (per TCGTalk Thai guide)</t>
  </si>
  <si>
    <t xml:space="preserve">Named by TCGTalk's Thai Abyss Eye guide as a Bangkok place to buy</t>
  </si>
  <si>
    <t xml:space="preserve">https://tcgtalk.com/guides/thailand/abyss-eye-pull-rates-box-opening-guide</t>
  </si>
  <si>
    <t xml:space="preserve">Gamebox</t>
  </si>
  <si>
    <t xml:space="preserve">Card/game shop recommended for Pokémon Thai sets (per TCGTalk Thai guide)</t>
  </si>
  <si>
    <t xml:space="preserve">The Cardster (Bangkok International Card Show)</t>
  </si>
  <si>
    <t xml:space="preserve">Shows at Samyan Mitrtown Hall 1-2, Bangkok (17-18 Oct 2026) and QSNCC (6-7 Mar 2027 edition)</t>
  </si>
  <si>
    <t xml:space="preserve">Card show organizer: sports cards &amp; TCG vendors (incl. Pokémon); trade night after show</t>
  </si>
  <si>
    <t xml:space="preserve">https://www.instagram.com/bangkokcardshow</t>
  </si>
  <si>
    <t xml:space="preserve">https://www.facebook.com/bkkcardshow</t>
  </si>
  <si>
    <t xml:space="preserve">Organizer of the Bangkok International Card Show, not a shop. Its vendor list is a good source of big resellers. IG handle of organizer: @thecardster.official</t>
  </si>
  <si>
    <t xml:space="preserve">https://tcgtalk.com/guides/thailand-pokemon-tradeshows-2026 | https://qsncc.com/en/whats-on/event-calendar/bangkok-international-card-show-2027/ | https://www.instagram.com/bangkokcardshow/</t>
  </si>
  <si>
    <t xml:space="preserve">NIN TCG (NINTCG)</t>
  </si>
  <si>
    <t xml:space="preserve">Số 51 Ngõ Thịnh Hào 1, Đống Đa; 4-F5 Ngõ 171 Thái Hà, Đống Đa</t>
  </si>
  <si>
    <t xml:space="preserve">Trading card games incl. Pokémon</t>
  </si>
  <si>
    <t xml:space="preserve">https://nintcg.com</t>
  </si>
  <si>
    <t xml:space="preserve">Two Đống Đa locations; 5.0 (126 reviews); gathering point for northern collectors (TCGTalk). Size tier set to Large because it runs 2 branches.</t>
  </si>
  <si>
    <t xml:space="preserve">https://tcgtalk.com/guides/tcg-shops-vietnam | https://tcgtalk.com/blog/chaos-rising-pokemon-vietnam-guide-1777992511431</t>
  </si>
  <si>
    <t xml:space="preserve">nShop</t>
  </si>
  <si>
    <t xml:space="preserve">Branches: 239 Trần Quang Khải Q1; 66 Thành Thái Q10; Parc Mall 549 Tạ Quang Bửu Q8 (3F); AEON Mall Tân Phú Celadon (2F); Sunrise Plaza 27 Nguyễn Hữu Thọ Q7</t>
  </si>
  <si>
    <t xml:space="preserve">Hobby/game chain (Nintendo Switch, PS5, Gundam) carrying Pokémon TCG; runs weekly community Pokémon TCG tournaments at AEON Malls | Hobby/game chain branch with Pokémon TCG product</t>
  </si>
  <si>
    <t xml:space="preserve">https://nshop.com.vn</t>
  </si>
  <si>
    <t xml:space="preserve">One of Vietnam's largest hobby chains (TCGTalk); weekly community Pokémon TCG tournaments at AEON Mall Tân Phú, AEON Bình Tân, Parc Mall Q8; ~1,200 reviews (4.8). Hanoi branch at Lotte Mall West Lake listed separately. District 7 Sunrise Plaza branch 4.9 (121 reviews). | Hanoi branch of nShop chain, open daily 09:30–22:00 (TCGTalk).</t>
  </si>
  <si>
    <t xml:space="preserve">https://tcgtalk.com/guides/tcg-shops-vietnam | https://tcgtalk.com/guides/vietnam-pokemon-tradeshows-2026 | https://tcgtalk.com/blog/chaos-rising-pokemon-vietnam-guide-1777992511431</t>
  </si>
  <si>
    <t xml:space="preserve">Zeni Card Central</t>
  </si>
  <si>
    <t xml:space="preserve">Lầu 3, 772 Sư Vạn Hạnh, Quận 10 (second branch in Quận 4)</t>
  </si>
  <si>
    <t xml:space="preserve">Pokémon TCG singles-focused</t>
  </si>
  <si>
    <t xml:space="preserve">TCGTalk: singles-leaning, 5.0 rating (283 reviews), opened a second branch in District 4. Size tier set to Large because it runs 2 branches (Q10 + Q4).</t>
  </si>
  <si>
    <t xml:space="preserve">https://tcgtalk.com/blog/chaos-rising-pokemon-vietnam-guide-1777992511431 | https://tcgtalk.com/guides/tcg-shops-vietnam</t>
  </si>
  <si>
    <t xml:space="preserve">IPP Travel Retail (Duy Anh Trading JSC) - airport Pokémon TCG stores</t>
  </si>
  <si>
    <t xml:space="preserve">Multiple</t>
  </si>
  <si>
    <t xml:space="preserve">Airport stores: Tan Son Nhat (HCMC), Noi Bai (Hanoi), Da Nang, Cam Ranh, Phu Quoc</t>
  </si>
  <si>
    <t xml:space="preserve">Pokémon TCG sold at airport stores (e.g., Kid Stars at Cam Ranh)</t>
  </si>
  <si>
    <t xml:space="preserve">Moodie Davitt Report (2024): IPP Travel Retail launched Pokémon TCG at 5 Vietnamese airports; Pokémon cards among top sellers at Kid Stars Cam Ranh. Legal entity Duy Anh Trading JSC.</t>
  </si>
  <si>
    <t xml:space="preserve">https://moodiedavittreport.com/trinity-forum-host-ipp-travel-retail-brings-pokemon-trade-card-game-to-vietnamese-airports/ | https://moodiedavittreport.com/images-of-the-day-kid-stars-adds-colour-and-play-to-ipp-travel-retails-offer-at-cam-ranh-airport/ | https://aci-asiapac.aero/membership/wbp-capability-database/duy-anh-trading-joint-stock-company-ipp-travel-retail-1084104</t>
  </si>
  <si>
    <t xml:space="preserve">BulbaShop</t>
  </si>
  <si>
    <t xml:space="preserve">251 Trần Đăng Ninh, Dịch Vọng, Cầu Giấy</t>
  </si>
  <si>
    <t xml:space="preserve">Pokémon TCG specialist since 2017; genuine Pokémon product</t>
  </si>
  <si>
    <t xml:space="preserve">https://bulbashop.com</t>
  </si>
  <si>
    <t xml:space="preserve">https://www.facebook.com/bulbashop</t>
  </si>
  <si>
    <t xml:space="preserve">+84 977 179 496</t>
  </si>
  <si>
    <t xml:space="preserve">Hanoi's first Pokémon specialist (since 2017); 4.8 (129 reviews); Mon–Sat 09:00–17:00; FB ~4.5k followers. A cached FB snapshot showed the page as temporarily unavailable — confirm the page is live.</t>
  </si>
  <si>
    <t xml:space="preserve">https://tcgtalk.com/guides/tcg-shops-vietnam | https://www.facebook.com/bulbashop/ | https://tcgtalk.com/guides/vietnam-pokemon-tradeshows-2026</t>
  </si>
  <si>
    <t xml:space="preserve">Mystic Crew TCG</t>
  </si>
  <si>
    <t xml:space="preserve">Tầng 4, Số 10 Trần Tử Bình, Nghĩa Tân, Cầu Giấy (TCGTalk guide also lists 106 Hoàng Quốc Việt)</t>
  </si>
  <si>
    <t xml:space="preserve">TCG hub (buy/trade); Pokémon among games</t>
  </si>
  <si>
    <t xml:space="preserve">https://www.facebook.com/mysticcreww</t>
  </si>
  <si>
    <t xml:space="preserve">+84 92 463 29 29</t>
  </si>
  <si>
    <t xml:space="preserve">Named among Hanoi's key retailers by TCGTalk; 5.0 (205 reviews).</t>
  </si>
  <si>
    <t xml:space="preserve">https://www.facebook.com/mysticcreww/ | https://tcgtalk.com/guides/tcg-shops-vietnam | https://tcgtalk.com/blog/chaos-rising-pokemon-vietnam-guide-1777992511431</t>
  </si>
  <si>
    <t xml:space="preserve">Hobby Center</t>
  </si>
  <si>
    <t xml:space="preserve">262/20 Lạc Long Quân, Quận 11</t>
  </si>
  <si>
    <t xml:space="preserve">Sealed product (TCGTalk calls its sealed/singles sourcing reliable); offers PSA grading submission service</t>
  </si>
  <si>
    <t xml:space="preserve">Pokémon &amp; One Piece TCG; Japanese TCG product; singles &amp; sealed; PSA grading service</t>
  </si>
  <si>
    <t xml:space="preserve">https://www.facebook.com/hobbycenter.vn</t>
  </si>
  <si>
    <t xml:space="preserve">TCGTalk rating 4.9 (291 reviews); FB page ~15k likes; hosts meetups/tournaments.</t>
  </si>
  <si>
    <t xml:space="preserve">https://tcgtalk.com/guides/tcg-shops-vietnam | https://tcgtalk.com/blog/chaos-rising-pokemon-vietnam-guide-1777992511431 | https://www.facebook.com/hobbycenter.vn/</t>
  </si>
  <si>
    <t xml:space="preserve">MetroTCG</t>
  </si>
  <si>
    <t xml:space="preserve">Imports Pokémon TCG product through the formal customs/tax channel (importer)</t>
  </si>
  <si>
    <t xml:space="preserve">Pokémon TCG (imports through formal customs channel)</t>
  </si>
  <si>
    <t xml:space="preserve">LinkedIn post (#MetroTCG) claims it opened the first Pokémon TCG store in HCMC, engaged with the official distributor and is applying to become an official Pokémon Gym; linked to IPP Travel Retail.</t>
  </si>
  <si>
    <t xml:space="preserve">https://vn.linkedin.com/in/tonyphamvn</t>
  </si>
  <si>
    <t xml:space="preserve">PokeHub TCG</t>
  </si>
  <si>
    <t xml:space="preserve">45 Nguyễn Thượng Hiền, Bình Thạnh (address flagged unverified by TCGTalk)</t>
  </si>
  <si>
    <t xml:space="preserve">Pokémon TCG specialist, Japanese-focused (singles &amp; sealed)</t>
  </si>
  <si>
    <t xml:space="preserve">Listed by TCGTalk as Pokémon (Japanese) specialist, 5.0 rating (129 reviews), open until 22:00. Not to be confused with the PokeHub TCG Pocket app.</t>
  </si>
  <si>
    <t xml:space="preserve">PTCG Cần Thơ</t>
  </si>
  <si>
    <t xml:space="preserve">Can Tho</t>
  </si>
  <si>
    <t xml:space="preserve">Phường An Khánh, Cần Thơ</t>
  </si>
  <si>
    <t xml:space="preserve">Genuine Pokémon TCG booster packs; local community news &amp; play tips</t>
  </si>
  <si>
    <t xml:space="preserve">https://www.facebook.com/PTCGCanTho</t>
  </si>
  <si>
    <t xml:space="preserve">+84 91 127 41 00</t>
  </si>
  <si>
    <t xml:space="preserve">FB page lists delivery, pre-orders and in-store purchase; categorised as a personal blog, no reviews yet.</t>
  </si>
  <si>
    <t xml:space="preserve">https://www.facebook.com/PTCGCanTho/</t>
  </si>
  <si>
    <t xml:space="preserve">Cá TCG - Đà Nẵng</t>
  </si>
  <si>
    <t xml:space="preserve">Da Nang</t>
  </si>
  <si>
    <t xml:space="preserve">Sells Pokémon boxes</t>
  </si>
  <si>
    <t xml:space="preserve">Pokémon TCG packs, boxes and singles (100% genuine claimed)</t>
  </si>
  <si>
    <t xml:space="preserve">https://www.facebook.com/people/C%C3%A1-TCG-%C4%90%C3%A0-N%E1%BA%B5ng/61570874096731</t>
  </si>
  <si>
    <t xml:space="preserve">+84 97 866 33 51</t>
  </si>
  <si>
    <t xml:space="preserve">https://www.facebook.com/people/C%C3%A1-TCG-%C4%90%C3%A0-N%E1%BA%B5ng/61570874096731/</t>
  </si>
  <si>
    <t xml:space="preserve">Kawaii Kulture</t>
  </si>
  <si>
    <t xml:space="preserve">21 Đầm Rong 1, Phường Thuận Phước, Hải Châu, Đà Nẵng</t>
  </si>
  <si>
    <t xml:space="preserve">Genuine TCG: Pokémon, Yu-Gi-Oh!, MTG, One Piece, Digimon; toys</t>
  </si>
  <si>
    <t xml:space="preserve">https://kawaikulture.vn</t>
  </si>
  <si>
    <t xml:space="preserve">https://www.facebook.com/kawaiikulturedn</t>
  </si>
  <si>
    <t xml:space="preserve">+84 36 741 4859</t>
  </si>
  <si>
    <t xml:space="preserve">Shopee (shope.ee link on FB page)</t>
  </si>
  <si>
    <t xml:space="preserve">FB page 'Đồ chơi, thẻ bài chính hãng'.</t>
  </si>
  <si>
    <t xml:space="preserve">https://www.facebook.com/kawaiikulturedn/</t>
  </si>
  <si>
    <t xml:space="preserve">PokeCorner</t>
  </si>
  <si>
    <t xml:space="preserve">Hẻm 60 Lý Chính Thắng</t>
  </si>
  <si>
    <t xml:space="preserve">Pokémon figures, merchandise and Pokémon TCG cards</t>
  </si>
  <si>
    <t xml:space="preserve">https://pokecorner.vn</t>
  </si>
  <si>
    <t xml:space="preserve">https://www.facebook.com/pokecornershop</t>
  </si>
  <si>
    <t xml:space="preserve">FB page: 'almost everything Pokémon' incl. TCG cards.</t>
  </si>
  <si>
    <t xml:space="preserve">https://www.facebook.com/pokecornershop/</t>
  </si>
  <si>
    <t xml:space="preserve">Kichi TCG</t>
  </si>
  <si>
    <t xml:space="preserve">TCG store</t>
  </si>
  <si>
    <t xml:space="preserve">https://www.facebook.com/p/Kichi-TCG-61575859491723</t>
  </si>
  <si>
    <t xml:space="preserve">Seen only as a Facebook page title in Vietnamese-language Pokémon TCG shop searches; location and Pokémon stock not confirmed.</t>
  </si>
  <si>
    <t xml:space="preserve">https://www.facebook.com/p/Kichi-TCG-61575859491723/</t>
  </si>
  <si>
    <t xml:space="preserve">LangPokemonMTG (TikTok @pokemontcgviet)</t>
  </si>
  <si>
    <t xml:space="preserve">Vietnamese Pokémon TCG TikTok channel: box openings, Japanese Pokémon Center lottery (chiusen) guides, card shipping tips</t>
  </si>
  <si>
    <t xml:space="preserve">https://www.tiktok.com/@pokemontcgviet</t>
  </si>
  <si>
    <t xml:space="preserve">Runs TikTok Live box-opening sessions (#langpokemonmtg); whether it sells product was not confirmed — treat as a live-selling lead to verify.</t>
  </si>
  <si>
    <t xml:space="preserve">https://www.tiktok.com/@pokemontcgviet/video/7264878797223185665 | https://www.tiktok.com/@pokemontcgviet/video/7314918977514392839</t>
  </si>
  <si>
    <t xml:space="preserve">Poke Poke - TCG Store</t>
  </si>
  <si>
    <t xml:space="preserve">TCG store (Pokémon implied by name)</t>
  </si>
  <si>
    <t xml:space="preserve">https://www.facebook.com/Pokepoketcg</t>
  </si>
  <si>
    <t xml:space="preserve">Seen only as a Facebook page title in Vietnamese-language Pokémon TCG shop searches; location and stock not confirmed.</t>
  </si>
  <si>
    <t xml:space="preserve">https://www.facebook.com/Pokepoketcg/</t>
  </si>
  <si>
    <t xml:space="preserve">Pokioh</t>
  </si>
  <si>
    <t xml:space="preserve">Korean Pokémon card boxes (box thẻ Pokemon bản Hàn)</t>
  </si>
  <si>
    <t xml:space="preserve">Korean-language Pokémon TCG sealed boxes</t>
  </si>
  <si>
    <t xml:space="preserve">https://www.facebook.com/Pokioh.shop</t>
  </si>
  <si>
    <t xml:space="preserve">FB page @Pokioh.shop explicitly lists Korean-edition Pokémon card boxes; city not stated.</t>
  </si>
  <si>
    <t xml:space="preserve">https://www.facebook.com/Pokioh.shop/</t>
  </si>
  <si>
    <t xml:space="preserve">Pokémon TCG Việt Nam (pokemontcg.vn)</t>
  </si>
  <si>
    <t xml:space="preserve">37 Hồng Hà (city not stated in source)</t>
  </si>
  <si>
    <t xml:space="preserve">Pokémon TCG — presents itself as the hub for Pokémon TCG players/fans in Vietnam</t>
  </si>
  <si>
    <t xml:space="preserve">https://pokemontcg.vn</t>
  </si>
  <si>
    <t xml:space="preserve">https://www.facebook.com/PokemonTCGVN</t>
  </si>
  <si>
    <t xml:space="preserve">FB page category is 'wholesale store' — possible importer/wholesaler; verify relationship to any official distribution. Hồng Hà street exists in both Hanoi and HCMC (Tân Bình), so city must be confirmed. TCGTalk separately cites a FB group 'Pokemon TCG Viet Nam – Official' as the main community channel.</t>
  </si>
  <si>
    <t xml:space="preserve">https://www.facebook.com/PokemonTCGVN/</t>
  </si>
  <si>
    <t xml:space="preserve">Poke Store VN</t>
  </si>
  <si>
    <t xml:space="preserve">Pokémon TCG products, codes and items; pre-orders of new card sets</t>
  </si>
  <si>
    <t xml:space="preserve">https://pokestore.vn</t>
  </si>
  <si>
    <t xml:space="preserve">https://www.facebook.com/PokeStoreVN</t>
  </si>
  <si>
    <t xml:space="preserve">+84 94 806 65 14</t>
  </si>
  <si>
    <t xml:space="preserve">FB category 'collectibles store' in Cần Thơ; description mentions Pokémon TCG codes/in-game items, while a post urges pre-ordering new cards — confirm physical card stock.</t>
  </si>
  <si>
    <t xml:space="preserve">GG Coffee</t>
  </si>
  <si>
    <t xml:space="preserve">15G Bùi Ngọc Dương, Hà Nội</t>
  </si>
  <si>
    <t xml:space="preserve">Trading cards (listed in TCG shop directory)</t>
  </si>
  <si>
    <t xml:space="preserve">TCGTalk directory: open 10:00–20:00 daily, delivery available, 4.3 (328 reviews); Pokémon range not confirmed.</t>
  </si>
  <si>
    <t xml:space="preserve">https://tcgtalk.com/guides/tcg-shops-vietnam</t>
  </si>
  <si>
    <t xml:space="preserve">Hero Game Hà Nội</t>
  </si>
  <si>
    <t xml:space="preserve">20 P. Ngọc Khánh, Giảng Võ, Ba Đình</t>
  </si>
  <si>
    <t xml:space="preserve">Trading cards (multi-TCG)</t>
  </si>
  <si>
    <t xml:space="preserve">+84 937 666 822</t>
  </si>
  <si>
    <t xml:space="preserve">TCGTalk directory: open 09:00–20:00 daily.</t>
  </si>
  <si>
    <t xml:space="preserve">Cardlab</t>
  </si>
  <si>
    <t xml:space="preserve">Lầu 2, 42 Tôn Thất Thiệp, Bến Nghé, Quận 1</t>
  </si>
  <si>
    <t xml:space="preserve">Pokémon TCG retailer (trading cards)</t>
  </si>
  <si>
    <t xml:space="preserve">https://www.facebook.com/shoptcgsg</t>
  </si>
  <si>
    <t xml:space="preserve">TCGTalk rating 4.7 (82 reviews); FB page describes it as a Pokémon trading card retailer.</t>
  </si>
  <si>
    <t xml:space="preserve">https://tcgtalk.com/guides/tcg-shops-vietnam | https://www.facebook.com/shoptcgsg/</t>
  </si>
  <si>
    <t xml:space="preserve">GameStop Việt Nam</t>
  </si>
  <si>
    <t xml:space="preserve">1061 Phạm Văn Đồng, Phường Linh Tây, TP. Thủ Đức</t>
  </si>
  <si>
    <t xml:space="preserve">Pokémon card collecting (self-described)</t>
  </si>
  <si>
    <t xml:space="preserve">Only source is a self-published Tumblr (@gamestopvn) presenting it as a destination for Pokémon card collectors, with email on the gamestop.vn domain; not verified elsewhere.</t>
  </si>
  <si>
    <t xml:space="preserve">https://www.tumblr.com/gamestopvn</t>
  </si>
  <si>
    <t xml:space="preserve">Geeky Mart LGS</t>
  </si>
  <si>
    <t xml:space="preserve">Thảo Điền area, TP. Thủ Đức (exact address unconfirmed)</t>
  </si>
  <si>
    <t xml:space="preserve">Local game store / trading cards</t>
  </si>
  <si>
    <t xml:space="preserve">TCGTalk directory: 4.9 (48 reviews).</t>
  </si>
  <si>
    <t xml:space="preserve">Herogame HCM</t>
  </si>
  <si>
    <t xml:space="preserve">200 Nguyễn Trọng Tuyển, Phường 8, Phú Nhuận</t>
  </si>
  <si>
    <t xml:space="preserve">TCGTalk directory: trading card store open 09:00–20:00 daily; Pokémon range not confirmed.</t>
  </si>
  <si>
    <t xml:space="preserve">HypecaT</t>
  </si>
  <si>
    <t xml:space="preserve">280/70/11 Bùi Hữu Nghĩa, Phường 2, Bình Thạnh</t>
  </si>
  <si>
    <t xml:space="preserve">Trading cards</t>
  </si>
  <si>
    <t xml:space="preserve">TCGTalk directory: trading cards category, 4.9 (28 reviews). Pokémon range to be confirmed.</t>
  </si>
  <si>
    <t xml:space="preserve">M2 DUEL Store</t>
  </si>
  <si>
    <t xml:space="preserve">Yu-Gi-Oh! &amp; Pokémon TCG, card accessories</t>
  </si>
  <si>
    <t xml:space="preserve">https://pro.m2duelstore.com</t>
  </si>
  <si>
    <t xml:space="preserve">https://www.facebook.com/M2duelstore</t>
  </si>
  <si>
    <t xml:space="preserve">Free home delivery advertised on FB page.</t>
  </si>
  <si>
    <t xml:space="preserve">https://www.facebook.com/M2duelstore/</t>
  </si>
  <si>
    <t xml:space="preserve">SaiGon Collectibles</t>
  </si>
  <si>
    <t xml:space="preserve">105 Nguyễn Du, Quận 1</t>
  </si>
  <si>
    <t xml:space="preserve">Pokémon &amp; Yu-Gi-Oh! cards, collectibles</t>
  </si>
  <si>
    <t xml:space="preserve">https://www.facebook.com/SaigonCollectibles.vn</t>
  </si>
  <si>
    <t xml:space="preserve">TCGTalk directory tags Pokémon and Yu-Gi-Oh.</t>
  </si>
  <si>
    <t xml:space="preserve">https://tcgtalk.com/guides/tcg-shops-vietnam | https://www.facebook.com/SaigonCollectibles.vn/</t>
  </si>
  <si>
    <t xml:space="preserve">Saigon TCG (Saigon Trading Card Games)</t>
  </si>
  <si>
    <t xml:space="preserve">Multi-TCG incl. Pokémon; associated with Vietnam TCG Fest announcements</t>
  </si>
  <si>
    <t xml:space="preserve">TCGTalk names Saigon TCG as a main HCMC retailer; the 'Saigon Trading Card Games' fanpage posts Vietnam TCG Fest (December, HCMC) announcements — unclear whether shop or organiser.</t>
  </si>
  <si>
    <t xml:space="preserve">https://tcgtalk.com/blog/chaos-rising-pokemon-vietnam-guide-1777992511431 | https://tcgtalk.com/guides/vietnam-pokemon-tradeshows-2026</t>
  </si>
  <si>
    <t xml:space="preserve">SBNV TCG Store</t>
  </si>
  <si>
    <t xml:space="preserve">Pokémon TCG (tournaments/community events)</t>
  </si>
  <si>
    <t xml:space="preserve">Named by TCGTalk as a key HCMC retailer; hosts monthly community tournaments; has a Facebook page.</t>
  </si>
  <si>
    <t xml:space="preserve">https://tcgtalk.com/guides/vietnam-pokemon-tradeshows-2026 | https://tcgtalk.com/blog/chaos-rising-pokemon-vietnam-guide-1777992511431</t>
  </si>
  <si>
    <t xml:space="preserve">The Elite Card Game Store</t>
  </si>
  <si>
    <t xml:space="preserve">Trading card games incl. Pokémon TCG</t>
  </si>
  <si>
    <t xml:space="preserve">Named by TCGTalk as one of the key Pokémon TCG retailers in HCMC; address not found.</t>
  </si>
  <si>
    <t xml:space="preserve">Wano Games</t>
  </si>
  <si>
    <t xml:space="preserve">Phú Nhuận</t>
  </si>
  <si>
    <t xml:space="preserve">Card &amp; board game shop</t>
  </si>
  <si>
    <t xml:space="preserve">TCGTalk directory: 4.9 (186 reviews); Pokémon range to be confirmed.</t>
  </si>
  <si>
    <t xml:space="preserve">Dannam Games &amp; Hobbies</t>
  </si>
  <si>
    <t xml:space="preserve">Nam Định</t>
  </si>
  <si>
    <t xml:space="preserve">Online store for Pokémon cards / TCG</t>
  </si>
  <si>
    <t xml:space="preserve">https://www.facebook.com/TCGStoreVietNam</t>
  </si>
  <si>
    <t xml:space="preserve">FB page 'TCGStoreVietNam', located in Nam Định.</t>
  </si>
  <si>
    <t xml:space="preserve">https://www.facebook.com/TCGStoreVietNam/</t>
  </si>
  <si>
    <t xml:space="preserve">Maxsoft (LazMall)</t>
  </si>
  <si>
    <t xml:space="preserve">Pokémon TCG Mega Evolution Ascended Heroes Elite Trainer Box (PHP 4,399 on LazMall)</t>
  </si>
  <si>
    <t xml:space="preserve">Official Pokémon merchandise/video-game distributor for SEA; sells EN Pokémon TCG sealed on LazMall</t>
  </si>
  <si>
    <t xml:space="preserve">Lazada LazMall: Maxsoft</t>
  </si>
  <si>
    <t xml:space="preserve">2015 Bulbanews names Maxsoft authorized Pokémon distributor for Southeast Asia; 2019 GizGuide credits it with Nintendo distribution rights incl. PH and launching the Pokémon flagship store on Lazada PH. Its role in TCG distribution specifically is unconfirmed.</t>
  </si>
  <si>
    <t xml:space="preserve">https://www.lazada.com.ph/products/pokemon-tcg-mega-evolution-ascended-heroes-elite-trainer-box-i15389354988.html | https://www.gizguide.com/2019/12/pokemon-flagship-store-lazada-philippines.html | https://bulbanews.bulbagarden.net/wiki/Shiny_Rayquaza_to_be_distributed_by_Maxsoft_Online</t>
  </si>
  <si>
    <t xml:space="preserve">Game One</t>
  </si>
  <si>
    <t xml:space="preserve">Metro Manila (multiple branches)</t>
  </si>
  <si>
    <t xml:space="preserve">Branches incl. SM North EDSA, Glorietta, SM Megamall</t>
  </si>
  <si>
    <t xml:space="preserve">Official EN sealed incl. ETBs</t>
  </si>
  <si>
    <t xml:space="preserve">Video games &amp; official Pokémon TCG sets</t>
  </si>
  <si>
    <t xml:space="preserve">Chain; named by TCGTalk as authorized channel; hosts weekly TCG sessions at Megamall.</t>
  </si>
  <si>
    <t xml:space="preserve">https://tcgtalk.com/guides/philippines/where-to-buy-pokemon-cards-philippines</t>
  </si>
  <si>
    <t xml:space="preserve">Neutral Grounds</t>
  </si>
  <si>
    <t xml:space="preserve">Sealed boxes and singles (cited by TCGTalk)</t>
  </si>
  <si>
    <t xml:space="preserve">Pokémon TCG, Magic: The Gathering, Yu-Gi-Oh!; singles and sealed</t>
  </si>
  <si>
    <t xml:space="preserve">Long-running TCG chain with physical branches and an online store (TCGTalk 2026 guide).</t>
  </si>
  <si>
    <t xml:space="preserve">Datablitz</t>
  </si>
  <si>
    <t xml:space="preserve">Nationwide (HQ Metro Manila)</t>
  </si>
  <si>
    <t xml:space="preserve">Mall branches (SM, Robinsons, Ayala, Trinoma) across Metro Manila; branches in Cebu, Iloilo, Davao</t>
  </si>
  <si>
    <t xml:space="preserve">Official EN sealed (blisters, ETBs ~PHP2,600-3,200 for Ascended Heroes)</t>
  </si>
  <si>
    <t xml:space="preserve">Official English Pokémon TCG sets; other TCGs (Union Arena etc.)</t>
  </si>
  <si>
    <t xml:space="preserve">https://ecommerce.datablitz.com.ph</t>
  </si>
  <si>
    <t xml:space="preserve">Chain; named by TCGTalk as most accessible authorized channel for official EN sets; hosts tournaments.</t>
  </si>
  <si>
    <t xml:space="preserve">https://tcgtalk.com/guides/philippines/where-to-buy-pokemon-cards-philippines | https://ecommerce.datablitz.com.ph/products/pokemon-trading-card-game-enhanced-2-pack-blister</t>
  </si>
  <si>
    <t xml:space="preserve">Toy Kingdom</t>
  </si>
  <si>
    <t xml:space="preserve">Nationwide (SM malls)</t>
  </si>
  <si>
    <t xml:space="preserve">SM mall branches nationwide (incl. SM Cebu, SM Davao)</t>
  </si>
  <si>
    <t xml:space="preserve">Current-season EN sealed (narrower mix)</t>
  </si>
  <si>
    <t xml:space="preserve">Official Pokémon items incl. current-season TCG sets and starter decks</t>
  </si>
  <si>
    <t xml:space="preserve">https://www.toykingdom.ph/collections/pokemon</t>
  </si>
  <si>
    <t xml:space="preserve">Chain retailer (SM group); named as authorized Pokémon retail channel by TCGTalk.</t>
  </si>
  <si>
    <t xml:space="preserve">https://www.toykingdom.ph/collections/pokemon?page=1 | https://tcgtalk.com/guides/philippines/where-to-buy-pokemon-cards-philippines</t>
  </si>
  <si>
    <t xml:space="preserve">Green Gate Hobbies</t>
  </si>
  <si>
    <t xml:space="preserve">857 Aurora Blvd. cor. St. Mary St., Cubao, Quezon City</t>
  </si>
  <si>
    <t xml:space="preserve">Sealed product and singles; collector-oriented stock; live auctions</t>
  </si>
  <si>
    <t xml:space="preserve">Pokémon TCG sealed and singles; other TCGs</t>
  </si>
  <si>
    <t xml:space="preserve">https://shop.greengatehobbies.com</t>
  </si>
  <si>
    <t xml:space="preserve">+63 919 655 6270</t>
  </si>
  <si>
    <t xml:space="preserve">Hosts official PTCG GYM Store events and live auctions; strong online store. Closed Mondays.</t>
  </si>
  <si>
    <t xml:space="preserve">https://tcgtalk.com/guides/tcg-shops-philippines | https://tcgtalk.com/guides/philippines/where-to-buy-pokemon-cards-philippines</t>
  </si>
  <si>
    <t xml:space="preserve">Toys"R"Us Philippines (Pokémon Play Hub)</t>
  </si>
  <si>
    <t xml:space="preserve">Quezon City (Robinsons Galleria, Ortigas)</t>
  </si>
  <si>
    <t xml:space="preserve">Level 3, Robinsons Galleria, EDSA cor. Ortigas Ave. (Pokémon Play Hub); nationwide Toys R Us branches</t>
  </si>
  <si>
    <t xml:space="preserve">Official Pokémon retail zone incl. exclusive items (TCG sealed availability to confirm)</t>
  </si>
  <si>
    <t xml:space="preserve">Official Pokémon retail zone, TCG play area, beginner classes, sanctioned events</t>
  </si>
  <si>
    <t xml:space="preserve">Chain retailer (Robinsons Retail). First official Pokémon Play Hub in PH, opened late 2025 with The Pokémon Company.</t>
  </si>
  <si>
    <t xml:space="preserve">https://www.robinsonsretailholdings.com.ph/2025/11/26/toysrus-pokemon-unveil-1st-pokemon-play-hub-in-ph/ | https://robinsonsmalls.com/pokemon-play-hub-robinsons-galleria</t>
  </si>
  <si>
    <t xml:space="preserve">CO. the collectible store</t>
  </si>
  <si>
    <t xml:space="preserve">3F Shoppesville, Greenhills Shopping Center, San Juan (also: Parkway area, SM City Fairview, Quezon City; GF Mitsukoshi Mall, Grand Central Park, BGC, Taguig)</t>
  </si>
  <si>
    <t xml:space="preserve">Collectibles store incl. Pokémon TCG</t>
  </si>
  <si>
    <t xml:space="preserve">Multiple branches (Greenhills, SM Fairview, Mitsukoshi BGC) per TCGTalk guide.</t>
  </si>
  <si>
    <t xml:space="preserve">https://tcgtalk.com/blog/chaos-rising-pokemon-philippines-guide-1777992510344 | https://tcgtalk.com/guides/philippines/where-to-buy-pokemon-cards-philippines</t>
  </si>
  <si>
    <t xml:space="preserve">Davao Magic Shop</t>
  </si>
  <si>
    <t xml:space="preserve">Cor. Lacson Torres St., Obrero, Davao City</t>
  </si>
  <si>
    <t xml:space="preserve">TCG hobby store (MTG, Pokémon TCG)</t>
  </si>
  <si>
    <t xml:space="preserve">https://www.facebook.com/magicshopdavao</t>
  </si>
  <si>
    <t xml:space="preserve">TCGTalk points to this store for Davao's official GYM events.</t>
  </si>
  <si>
    <t xml:space="preserve">https://tcgtalk.com/guides/tcg-shops-philippines | https://www.facebook.com/magicshopdavao/</t>
  </si>
  <si>
    <t xml:space="preserve">Vault Card Shop</t>
  </si>
  <si>
    <t xml:space="preserve">Circuit Lane, Carmona, Makati City, Metro Manila</t>
  </si>
  <si>
    <t xml:space="preserve">Dedicated 'Sealed' product category (per FB page); recommended by TCGTalk for new-set release-day sealed stock</t>
  </si>
  <si>
    <t xml:space="preserve">Pokémon, MTG, Yu-Gi-Oh!, One Piece and other TCGs; singles, sealed, accessories</t>
  </si>
  <si>
    <t xml:space="preserve">https://vaultcardshop.com</t>
  </si>
  <si>
    <t xml:space="preserve">https://www.facebook.com/VaultCardShop</t>
  </si>
  <si>
    <t xml:space="preserve">+63 962 281 6499</t>
  </si>
  <si>
    <t xml:space="preserve">Bills itself as a leading TCG hub in PH; TCGTalk rates it 4.9 (217 reviews) and calls it the strongest all-round pick in Metro Manila; open daily 10am-10pm.</t>
  </si>
  <si>
    <t xml:space="preserve">https://www.facebook.com/VaultCardShop/ | https://tcgtalk.com/blog/chaos-rising-pokemon-philippines-guide-1777992510344 | https://tcgtalk.com/guides/philippines/where-to-buy-pokemon-cards-philippines</t>
  </si>
  <si>
    <t xml:space="preserve">Magus Games</t>
  </si>
  <si>
    <t xml:space="preserve">Mandaue City, Cebu</t>
  </si>
  <si>
    <t xml:space="preserve">Predico Building, Hernan Cortes St., Mandaue City, Cebu</t>
  </si>
  <si>
    <t xml:space="preserve">Game store; Pokémon TCG and other TCGs</t>
  </si>
  <si>
    <t xml:space="preserve">+63 32 261 3586</t>
  </si>
  <si>
    <t xml:space="preserve">TCGTalk: Cebu store hosting regular official GYM events. Open daily 2-11pm. TCGTalk events page places the Hernan Cortes St. store in Cebu City.</t>
  </si>
  <si>
    <t xml:space="preserve">JapStore PH Cards &amp; Hobbies</t>
  </si>
  <si>
    <t xml:space="preserve">Manila (Tondo)</t>
  </si>
  <si>
    <t xml:space="preserve">363 Moriones St., Tondo, Manila</t>
  </si>
  <si>
    <t xml:space="preserve">Pokémon TCG and other TCGs; Japanese product</t>
  </si>
  <si>
    <t xml:space="preserve">https://www.facebook.com/p/JapStore-PH-Cards-Hobbies-100094538074584</t>
  </si>
  <si>
    <t xml:space="preserve">+63 2 8743 7595</t>
  </si>
  <si>
    <t xml:space="preserve">Describes itself as a top TCG source in PH and an authorized Pokémon retailer supporting organized play; delivery and in-store pickup.</t>
  </si>
  <si>
    <t xml:space="preserve">https://www.facebook.com/p/JapStore-PH-Cards-Hobbies-100094538074584/</t>
  </si>
  <si>
    <t xml:space="preserve">Gaming Library</t>
  </si>
  <si>
    <t xml:space="preserve">TCG retailer; Pokémon sealed and singles</t>
  </si>
  <si>
    <t xml:space="preserve">Courtside</t>
  </si>
  <si>
    <t xml:space="preserve">SM City North EDSA and Trinoma branches, Quezon City</t>
  </si>
  <si>
    <t xml:space="preserve">Hobby shop (listed in TCG directory); Pokémon stock unconfirmed</t>
  </si>
  <si>
    <t xml:space="preserve">Two branches; directory lists it only as a hobby shop - confirm Pokémon TCG offer.</t>
  </si>
  <si>
    <t xml:space="preserve">https://tcgtalk.com/guides/tcg-shops-philippines</t>
  </si>
  <si>
    <t xml:space="preserve">Hobby Stadium</t>
  </si>
  <si>
    <t xml:space="preserve">3F, 84 Dona Hemady St. at E. Rodriguez St., New Manila, Quezon City</t>
  </si>
  <si>
    <t xml:space="preserve">Offers PSA, BGS and CGC grading services (per Instagram bio)</t>
  </si>
  <si>
    <t xml:space="preserve">Pokémon TCG supplies, singles, booster packs; grading submissions (PSA/BGS/CGC)</t>
  </si>
  <si>
    <t xml:space="preserve">https://www.instagram.com/hobbystadium</t>
  </si>
  <si>
    <t xml:space="preserve">+63 919 091 7484</t>
  </si>
  <si>
    <t xml:space="preserve">Community-oriented; key official GYM event venue per TCGTalk. Hours Mon-Tue 2-11pm, Wed-Sun 11am-11pm. IG profile (@hobbystadium) matched by name; lists Pokémon and PSA/BGS/CGC grading.</t>
  </si>
  <si>
    <t xml:space="preserve">https://tcgtalk.com/blog/chaos-rising-pokemon-philippines-guide-1777992510344 | https://tcgtalk.com/guides/tcg-shops-philippines | https://www.instagram.com/hobbystadium/</t>
  </si>
  <si>
    <t xml:space="preserve">RunIt Decks</t>
  </si>
  <si>
    <t xml:space="preserve">Upper level, Promenade Mall, Greenhills Shopping Center, San Juan City</t>
  </si>
  <si>
    <t xml:space="preserve">Recommended by TCGTalk for sealed product on new-set release days</t>
  </si>
  <si>
    <t xml:space="preserve">Pokémon TCG and other TCGs; singles and sealed</t>
  </si>
  <si>
    <t xml:space="preserve">5.0 rating from 273 reviews (TCGTalk, May 2026).</t>
  </si>
  <si>
    <t xml:space="preserve">https://tcgtalk.com/blog/chaos-rising-pokemon-philippines-guide-1777992510344</t>
  </si>
  <si>
    <t xml:space="preserve">Madcap Gaming Philippines</t>
  </si>
  <si>
    <t xml:space="preserve">San Pedro, Laguna</t>
  </si>
  <si>
    <t xml:space="preserve">+63 995 200 7329</t>
  </si>
  <si>
    <t xml:space="preserve">TCGTalk: covers collectors south of Manila. Tue-Fri 2-11pm, weekends 11am-11pm.</t>
  </si>
  <si>
    <t xml:space="preserve">NPC Café</t>
  </si>
  <si>
    <t xml:space="preserve">Calamba, Laguna</t>
  </si>
  <si>
    <t xml:space="preserve">Gaming café; TCG</t>
  </si>
  <si>
    <t xml:space="preserve">+63 917 572 7813</t>
  </si>
  <si>
    <t xml:space="preserve">BOX 17 @ Unbox Cebu</t>
  </si>
  <si>
    <t xml:space="preserve">Unbox Cebu, Ayala Central Bloc, Cebu IT Park, Cebu City</t>
  </si>
  <si>
    <t xml:space="preserve">Genuine Pokémon cards (consignment box/stall inside Unbox Cebu)</t>
  </si>
  <si>
    <t xml:space="preserve">Recommended on TikTok for genuine Pokémon cards in Cebu.</t>
  </si>
  <si>
    <t xml:space="preserve">https://www.tiktok.com/discover/where-to-sell-pokemon-cards-philippines</t>
  </si>
  <si>
    <t xml:space="preserve">Block 101 Hobbies</t>
  </si>
  <si>
    <t xml:space="preserve">Ground Floor, Royal Plaza Commercial Center, Mandaluyong City</t>
  </si>
  <si>
    <t xml:space="preserve">TCG hobby shop &amp; play space; Pokémon cards</t>
  </si>
  <si>
    <t xml:space="preserve">TCGTalk: roomy, reasonably priced, sells drinks/snacks; good for collectors and players. Tue-Fri 2-10pm, Sat 2-7pm.</t>
  </si>
  <si>
    <t xml:space="preserve">Ongkeco's Hobby Shop</t>
  </si>
  <si>
    <t xml:space="preserve">Manila (Malate)</t>
  </si>
  <si>
    <t xml:space="preserve">Cor. Taft Ave. &amp; Estrada St., Malate, Manila</t>
  </si>
  <si>
    <t xml:space="preserve">Magic, NBA and Pokémon cards</t>
  </si>
  <si>
    <t xml:space="preserve">https://www.facebook.com/ongkeco.shop</t>
  </si>
  <si>
    <t xml:space="preserve">+63 917 536 3911</t>
  </si>
  <si>
    <t xml:space="preserve">94% recommend (31 reviews) on FB.</t>
  </si>
  <si>
    <t xml:space="preserve">https://www.facebook.com/ongkeco.shop/ | https://tcgtalk.com/guides/tcg-shops-philippines</t>
  </si>
  <si>
    <t xml:space="preserve">Ozine Hub &amp; Café</t>
  </si>
  <si>
    <t xml:space="preserve">Pasig</t>
  </si>
  <si>
    <t xml:space="preserve">Hobby hub &amp; café; TCG</t>
  </si>
  <si>
    <t xml:space="preserve">Roll Play Game Lounge</t>
  </si>
  <si>
    <t xml:space="preserve">Estancia, Capitol Commons, Pasig City</t>
  </si>
  <si>
    <t xml:space="preserve">Game lounge; board games and TCG</t>
  </si>
  <si>
    <t xml:space="preserve">+63 917 853 5222</t>
  </si>
  <si>
    <t xml:space="preserve">SideQuest Café + Hobby Lounge</t>
  </si>
  <si>
    <t xml:space="preserve">Café &amp; hobby lounge; Pokémon TCG events</t>
  </si>
  <si>
    <t xml:space="preserve">Named in TCGTalk PH Pokémon tradeshows/events guide as an event venue.</t>
  </si>
  <si>
    <t xml:space="preserve">https://tcgtalk.com/guides/tcg-shops-philippines | https://tcgtalk.com/guides/philippines-pokemon-tradeshows-2026</t>
  </si>
  <si>
    <t xml:space="preserve">Kachi Cafe &amp; Collectibles</t>
  </si>
  <si>
    <t xml:space="preserve">Café with collectibles/TCG</t>
  </si>
  <si>
    <t xml:space="preserve">Pokéshop PH</t>
  </si>
  <si>
    <t xml:space="preserve">Genuine Pokémon collectibles incl. TCG</t>
  </si>
  <si>
    <t xml:space="preserve">https://www.facebook.com/pokeshopphilippines</t>
  </si>
  <si>
    <t xml:space="preserve">Run by hobbyists; page lists Instagram, Shopee, email and phone (not captured). Page content appears dated (Brilliant Stars era, 2022).</t>
  </si>
  <si>
    <t xml:space="preserve">https://www.facebook.com/pokeshopphilippines/</t>
  </si>
  <si>
    <t xml:space="preserve">X Legendary</t>
  </si>
  <si>
    <t xml:space="preserve">Cactus St., Taguig (Plus Code G3V4+3JQ)</t>
  </si>
  <si>
    <t xml:space="preserve">Café and hobby shop; TCG</t>
  </si>
  <si>
    <t xml:space="preserve">+63 927 877 0890</t>
  </si>
  <si>
    <t xml:space="preserve">https://tcgtalk.com/blog/chaos-rising-pokemon-philippines-guide-1777992510344 | https://tcgtalk.com/guides/tcg-shops-philippines</t>
  </si>
  <si>
    <t xml:space="preserve">JK Hobby Shop</t>
  </si>
  <si>
    <t xml:space="preserve">Tagum City, Davao del Norte</t>
  </si>
  <si>
    <t xml:space="preserve">Pokémon and One Piece TCG; blind boxes, Beyblade X, Sanrio, Funko Pop</t>
  </si>
  <si>
    <t xml:space="preserve">https://www.facebook.com/jkhobbyshopph</t>
  </si>
  <si>
    <t xml:space="preserve">https://www.facebook.com/jkhobbyshopph/</t>
  </si>
  <si>
    <t xml:space="preserve">Cafe Mannaia</t>
  </si>
  <si>
    <t xml:space="preserve">Tarlac City</t>
  </si>
  <si>
    <t xml:space="preserve">Promoted a PHP 30,000 Pokémon card trade (high-value singles)</t>
  </si>
  <si>
    <t xml:space="preserve">Café with hobby shop to buy, sell and swap Pokémon cards</t>
  </si>
  <si>
    <t xml:space="preserve">Promoted on TikTok as a place to swap/buy/sell Pokémon cards.</t>
  </si>
  <si>
    <t xml:space="preserve">In the Zone Toy Center</t>
  </si>
  <si>
    <t xml:space="preserve">Pokémon TCG Shining Fates Elite Trainer Box (listed PHP 10,000)</t>
  </si>
  <si>
    <t xml:space="preserve">Toy store selling Pokémon TCG sealed on Lazada</t>
  </si>
  <si>
    <t xml:space="preserve">Lazada: In the Zone Toy Center</t>
  </si>
  <si>
    <t xml:space="preserve">Lazada seller rating 99%; listing shown out of stock, no date.</t>
  </si>
  <si>
    <t xml:space="preserve">https://www.lazada.com.ph/products/pokemon-tcg-shining-fates-elite-trainer-box-i1795891590.html</t>
  </si>
  <si>
    <t xml:space="preserve">Poke World (Shopee)</t>
  </si>
  <si>
    <t xml:space="preserve">Dedicated Pokémon TCG online store (claims authentic product)</t>
  </si>
  <si>
    <t xml:space="preserve">https://shopee.ph/pokeworld_ph</t>
  </si>
  <si>
    <t xml:space="preserve">Shopee PH storefront; stock/booster box availability not confirmed in snippet.</t>
  </si>
  <si>
    <t xml:space="preserve">Final Turn Hobby Shop</t>
  </si>
  <si>
    <t xml:space="preserve">Bacolod City</t>
  </si>
  <si>
    <t xml:space="preserve">Hobby shop; TCG</t>
  </si>
  <si>
    <t xml:space="preserve">+63 34 432 1860</t>
  </si>
  <si>
    <t xml:space="preserve">Guild House Novelty Item Shop</t>
  </si>
  <si>
    <t xml:space="preserve">Biñan, Laguna</t>
  </si>
  <si>
    <t xml:space="preserve">Novelty/hobby shop; TCG</t>
  </si>
  <si>
    <t xml:space="preserve">Aqua Card Games Cavite</t>
  </si>
  <si>
    <t xml:space="preserve">Cavite</t>
  </si>
  <si>
    <t xml:space="preserve">Card game store</t>
  </si>
  <si>
    <t xml:space="preserve">Legends Hobby Shop</t>
  </si>
  <si>
    <t xml:space="preserve">481 Kinasang-An, Cebu City</t>
  </si>
  <si>
    <t xml:space="preserve">Play 2 Learn</t>
  </si>
  <si>
    <t xml:space="preserve">Level 3, Ayala Center Cebu, Cebu City</t>
  </si>
  <si>
    <t xml:space="preserve">Toys &amp; games store; TCG</t>
  </si>
  <si>
    <t xml:space="preserve">+63 32 415 8084</t>
  </si>
  <si>
    <t xml:space="preserve">Mage-Ring</t>
  </si>
  <si>
    <t xml:space="preserve">Dasmariñas, Cavite</t>
  </si>
  <si>
    <t xml:space="preserve">TCG card shop</t>
  </si>
  <si>
    <t xml:space="preserve">Forge Hobby Place</t>
  </si>
  <si>
    <t xml:space="preserve">Las Piñas</t>
  </si>
  <si>
    <t xml:space="preserve">Las Piñas (also ForgeHobbyPlace SouthSide, Bacoor, Cavite)</t>
  </si>
  <si>
    <t xml:space="preserve">+63 936 477 7370</t>
  </si>
  <si>
    <t xml:space="preserve">One TCGTalk listing also groups it with Cubao (QC) shops; directory fields may be shifted.</t>
  </si>
  <si>
    <t xml:space="preserve">Arken CardZone</t>
  </si>
  <si>
    <t xml:space="preserve">Level 2, Unit L2031, Ayala Malls Circuit, Hippodromo St., Carmona, Makati City</t>
  </si>
  <si>
    <t xml:space="preserve">TCG card shop (Pokémon and other TCGs)</t>
  </si>
  <si>
    <t xml:space="preserve">+63 2 8541 6667</t>
  </si>
  <si>
    <t xml:space="preserve">Listed in TCGTalk Metro Manila Pokémon buying guide (May 2026).</t>
  </si>
  <si>
    <t xml:space="preserve">Japan Gacha</t>
  </si>
  <si>
    <t xml:space="preserve">Manila (Sampaloc)</t>
  </si>
  <si>
    <t xml:space="preserve">Recto Ave. area, Sampaloc, Manila</t>
  </si>
  <si>
    <t xml:space="preserve">Japanese toys/gacha and cards</t>
  </si>
  <si>
    <t xml:space="preserve">+63 917 163 4162</t>
  </si>
  <si>
    <t xml:space="preserve">High Market Store and Cafe</t>
  </si>
  <si>
    <t xml:space="preserve">Metro Manila (Cubao, QC per one listing)</t>
  </si>
  <si>
    <t xml:space="preserve">Café and TCG/hobby store</t>
  </si>
  <si>
    <t xml:space="preserve">TCGTalk directory fields appear shifted (also shows a Festival Mall, Alabang unit shared with Hobby Kaikan); confirm location.</t>
  </si>
  <si>
    <t xml:space="preserve">Hobbyists U Toy Store</t>
  </si>
  <si>
    <t xml:space="preserve">Muntinlupa</t>
  </si>
  <si>
    <t xml:space="preserve">Toy &amp; hobby store; TCG</t>
  </si>
  <si>
    <t xml:space="preserve">Hobby Kaikan</t>
  </si>
  <si>
    <t xml:space="preserve">Muntinlupa (Alabang)</t>
  </si>
  <si>
    <t xml:space="preserve">Festival Mall, Alabang, Muntinlupa</t>
  </si>
  <si>
    <t xml:space="preserve">+63 999 224 5413</t>
  </si>
  <si>
    <t xml:space="preserve">ACG-Uniaqua Hobbies</t>
  </si>
  <si>
    <t xml:space="preserve">4th Floor, Ayala Malls Feliz, Pasig City</t>
  </si>
  <si>
    <t xml:space="preserve">Hobby shop; TCG incl. Pokémon</t>
  </si>
  <si>
    <t xml:space="preserve">Aurorus Collections</t>
  </si>
  <si>
    <t xml:space="preserve">B2 L3A Commonwealth Ave., Fairview, Quezon City</t>
  </si>
  <si>
    <t xml:space="preserve">TCG/collectibles shop</t>
  </si>
  <si>
    <t xml:space="preserve">+63 967 210 9361</t>
  </si>
  <si>
    <t xml:space="preserve">Open Wed-Sun 12nn-12mn (TCGTalk May 2026).</t>
  </si>
  <si>
    <t xml:space="preserve">Mana Underground</t>
  </si>
  <si>
    <t xml:space="preserve">91 Ascension St., Lagro Subdivision, Quezon City</t>
  </si>
  <si>
    <t xml:space="preserve">TCG store focused on competitive Magic: The Gathering; Pokémon stock unconfirmed</t>
  </si>
  <si>
    <t xml:space="preserve">Listed in TCGTalk PH TCG directory; MTG-focused - confirm Pokémon offer.</t>
  </si>
  <si>
    <t xml:space="preserve">PopCulture Community</t>
  </si>
  <si>
    <t xml:space="preserve">116 Eastwood Ave., Bagumbayan, Quezon City</t>
  </si>
  <si>
    <t xml:space="preserve">TCG store and community hub; Pokémon TCG</t>
  </si>
  <si>
    <t xml:space="preserve">popcomstore@gmail.com</t>
  </si>
  <si>
    <t xml:space="preserve">Named by TCGTalk among key GYM event venues.</t>
  </si>
  <si>
    <t xml:space="preserve">Toy Shogun</t>
  </si>
  <si>
    <t xml:space="preserve">Toys &amp; hobby; TCG</t>
  </si>
  <si>
    <t xml:space="preserve">+63 917 350 4293</t>
  </si>
  <si>
    <t xml:space="preserve">Dragon's Chest</t>
  </si>
  <si>
    <t xml:space="preserve">Quezon City (Cubao)</t>
  </si>
  <si>
    <t xml:space="preserve">Cubao, Quezon City</t>
  </si>
  <si>
    <t xml:space="preserve">TCG/hobby shop</t>
  </si>
  <si>
    <t xml:space="preserve">Listed among Cubao Pokémon/TCG shop options in TCGTalk directory (May 2026).</t>
  </si>
  <si>
    <t xml:space="preserve">Big Boys (Shoppesville)</t>
  </si>
  <si>
    <t xml:space="preserve">Shoppesville, Greenhills Shopping Center, San Juan City</t>
  </si>
  <si>
    <t xml:space="preserve">Independent hobby shop; Pokémon cards</t>
  </si>
  <si>
    <t xml:space="preserve">Named among Greenhills independent hobby shops selling Pokémon cards (TCGTalk 2026).</t>
  </si>
  <si>
    <t xml:space="preserve">Collecticat Games and Hobbies</t>
  </si>
  <si>
    <t xml:space="preserve">Basement 2, Promenade Mall, Greenhills Shopping Center, San Juan City</t>
  </si>
  <si>
    <t xml:space="preserve">Games and hobbies; TCG incl. Pokémon</t>
  </si>
  <si>
    <t xml:space="preserve">Listed in TCGTalk Metro Manila buying guide (May 2026).</t>
  </si>
  <si>
    <t xml:space="preserve">Fortress Toys and Hobbies</t>
  </si>
  <si>
    <t xml:space="preserve">Greenhills Shopping Center, San Juan City</t>
  </si>
  <si>
    <t xml:space="preserve">Toys &amp; hobbies; Pokémon cards</t>
  </si>
  <si>
    <t xml:space="preserve">+63 922 451 4505</t>
  </si>
  <si>
    <t xml:space="preserve">PCButlers Novelty Shop</t>
  </si>
  <si>
    <t xml:space="preserve">Santa Rosa, Laguna</t>
  </si>
  <si>
    <t xml:space="preserve">Cardpro Hobbies &amp; Collectibles</t>
  </si>
  <si>
    <t xml:space="preserve">1707 One Park Drive, 9th Avenue, Bonifacio Global City, Taguig</t>
  </si>
  <si>
    <t xml:space="preserve">Hobbies &amp; collectibles, trading cards</t>
  </si>
  <si>
    <t xml:space="preserve">Listed in TCGTalk Metro Manila guide (May 2026).</t>
  </si>
  <si>
    <t xml:space="preserve">Maxsoft Pte Ltd</t>
  </si>
  <si>
    <t xml:space="preserve">Distributor of English sealed Pokémon TCG product to local shops (booster boxes/cases to retail)</t>
  </si>
  <si>
    <t xml:space="preserve">Official distributor of English Pokémon TCG (non-digital) in Singapore; Nintendo representative for SE Asia &amp; Middle East; also Dragon Ball Super, Digimon, Banpresto plush</t>
  </si>
  <si>
    <t xml:space="preserve">https://maxsoftonline.com</t>
  </si>
  <si>
    <t xml:space="preserve">Described as the main/sole authorised English Pokémon TCG distributor in Singapore; tcgTalk reports it fills only ~15-20% of what local shops order (anecdotal). Website from business directory listing.</t>
  </si>
  <si>
    <t xml:space="preserve">https://bulbapedia.bulbagarden.net/wiki/Singapore | https://getprospect.com/business-directory/maxsoft-pte-ltd | https://tcgtalk.com/blog/why-singapore-pokemon-card-prices-130-percent-market-rate-explained-1766818121578</t>
  </si>
  <si>
    <t xml:space="preserve">N2 Toys</t>
  </si>
  <si>
    <t xml:space="preserve">Beauty World Centre, 144 Upper Bukit Timah Road #B1-22; also 100AM Mall L3 and The Centrepoint L5</t>
  </si>
  <si>
    <t xml:space="preserve">Pokémon cards; collectors list cards for sale in-shop (consignment showcases)</t>
  </si>
  <si>
    <t xml:space="preserve">Multiple outlets (Beauty World, 100AM, Centrepoint) per tcgTalk 2026 review.</t>
  </si>
  <si>
    <t xml:space="preserve">https://tcgtalk.com/blog/n2-toys-singapore-review-beauty-world-centre-pokemon-tcg-2026-1771594342551 | https://tcgtalk.com/guides/pokemon-tcg-shops-singapore</t>
  </si>
  <si>
    <t xml:space="preserve">Play United</t>
  </si>
  <si>
    <t xml:space="preserve">The Centrepoint, 176 Orchard Road #03-07; United Square (Novena) #B1-73; Hougang Mall</t>
  </si>
  <si>
    <t xml:space="preserve">Japanese sealed product (broad JP range); wide sealed range</t>
  </si>
  <si>
    <t xml:space="preserve">Claw-machine arcade + trading card store; broad Japanese Pokémon range</t>
  </si>
  <si>
    <t xml:space="preserve">+65 9082 5039</t>
  </si>
  <si>
    <t xml:space="preserve">Claw-machine arcade + TCG store chain with several outlets. tcgTalk 2026 review: JP range broader than most central shops, cash-only buyback; Hougang Mall outlet under renovation at time of review. TikTok post describes new Pokémon TCG shop at United Square B1-73.</t>
  </si>
  <si>
    <t xml:space="preserve">https://tcgtalk.com/blog/play-united-singapore-review-orchard-centrepoint-pokemon-tcg-2026-1782657722811 | https://www.tiktok.com/discover/pokemon-card-live-singapore?lang=en</t>
  </si>
  <si>
    <t xml:space="preserve">Pokémon Center Singapore</t>
  </si>
  <si>
    <t xml:space="preserve">Jewel Changi Airport</t>
  </si>
  <si>
    <t xml:space="preserve">Official sealed TCG products at MSRP</t>
  </si>
  <si>
    <t xml:space="preserve">Official Pokémon store: TCG products (EN), plush, video games, merchandise; MSRP pricing</t>
  </si>
  <si>
    <t xml:space="preserve">Shopee: Pokémon Centre Singapore official store</t>
  </si>
  <si>
    <t xml:space="preserve">Official store of The Pokémon Company; first English-TCG Pokémon Center to strip plastic wrap at checkout as anti-scalping measure (Mar 2025); Jan 2025 Prismatic Evolutions launch cancelled over crowd safety; grand reopening 1-5 July 2026 with reservations/queue tickets. Also sells via official Shopee storefront.</t>
  </si>
  <si>
    <t xml:space="preserve">https://thesmartlocal.com/read/guide-to-pokemon-cards-in-singapore/ | https://asia-press.portal-pokemon.com/press-release/july-1st-grand-reopening/ | https://snkrdunk.com/en/magazine/2025/03/17/pokemon-center-singapore-intoduces-anti-scalping-measure-removal-of-plastic-wrap-from-tcg-products-at-purchase | https://mustsharenews.com/pokemon-center-queue-launch/</t>
  </si>
  <si>
    <t xml:space="preserve">Toy Or Game</t>
  </si>
  <si>
    <t xml:space="preserve">Multiple outlets</t>
  </si>
  <si>
    <t xml:space="preserve">Toy/game chain carrying Pokémon TCG</t>
  </si>
  <si>
    <t xml:space="preserve">Listed by a Singapore Pokémon card guide (with Toys"R"Us) as a retailer for Pokémon cards.</t>
  </si>
  <si>
    <t xml:space="preserve">https://tcgtalk.com/blog/pokemon-card-collecting-singapore-2026-complete-beginner-guide | https://thesmartlocal.com/read/guide-to-pokemon-cards-in-singapore/</t>
  </si>
  <si>
    <t xml:space="preserve">Toys"R"Us Singapore</t>
  </si>
  <si>
    <t xml:space="preserve">Multiple outlets island-wide</t>
  </si>
  <si>
    <t xml:space="preserve">Toy chain carrying Pokémon TCG retail product</t>
  </si>
  <si>
    <t xml:space="preserve">Listed by a Singapore Pokémon card guide as a general retailer for Pokémon cards.</t>
  </si>
  <si>
    <t xml:space="preserve">TPC (vintage sealed specialist)</t>
  </si>
  <si>
    <t xml:space="preserve">Vintage sealed stock - described as the largest collection of its kind in Singapore and Asia</t>
  </si>
  <si>
    <t xml:space="preserve">Vintage sealed Pokémon product; live breaks</t>
  </si>
  <si>
    <t xml:space="preserve">player.me article recommends TPC for vintage sealed product and praises its live breaks; full name/address not in excerpt.</t>
  </si>
  <si>
    <t xml:space="preserve">https://player.me/?p=30893</t>
  </si>
  <si>
    <t xml:space="preserve">Card Arena</t>
  </si>
  <si>
    <t xml:space="preserve">Suntec City</t>
  </si>
  <si>
    <t xml:space="preserve">TCG store incl. Pokémon; consignment sales</t>
  </si>
  <si>
    <t xml:space="preserve">Featured by TheSmartLocal; offers consignment selling.</t>
  </si>
  <si>
    <t xml:space="preserve">https://thesmartlocal.com/read/tcg-store-card-arena-suntec-city/</t>
  </si>
  <si>
    <t xml:space="preserve">Cardboard Collectibles</t>
  </si>
  <si>
    <t xml:space="preserve">Orchard Gateway, 277 Orchard Road (Somerset)</t>
  </si>
  <si>
    <t xml:space="preserve">Sealed products (membership gives 5% store credit on sealed, 10% on singles)</t>
  </si>
  <si>
    <t xml:space="preserve">Pokémon, Duel Masters, Battle Spirits, Digimon, One Piece; singles (wide range, stock levels shown online) and sealed; ships worldwide</t>
  </si>
  <si>
    <t xml:space="preserve">https://www.instagram.com/cardboardcollectible</t>
  </si>
  <si>
    <t xml:space="preserve">Also styled 'Cardboard Collectible'. Physical shop at Orchard Gateway (Somerset) per tcgTalk/TheSmartLocal; Instagram describes a small SG business shipping worldwide; free membership with store-credit rebates (GetGo).</t>
  </si>
  <si>
    <t xml:space="preserve">https://thesmartlocal.com/read/guide-to-pokemon-cards-in-singapore/ | https://tcgtalk.com/blog/complete-pokemon-tcg-products-guide-singapore-collectors-2025-1766156861401 | https://getgo.sg/blog/best-tcg-card-shops-in-singapore | https://www.instagram.com/cardboardcollectible/</t>
  </si>
  <si>
    <t xml:space="preserve">Cards Central</t>
  </si>
  <si>
    <t xml:space="preserve">62A Smith Street, Level 2, Chinatown, Singapore</t>
  </si>
  <si>
    <t xml:space="preserve">Japanese booster boxes, graded cards</t>
  </si>
  <si>
    <t xml:space="preserve">Pokémon, MTG, Lorcana, One Piece, sports cards; singles, graded cards; buyback, grading and consignment (from 3%)</t>
  </si>
  <si>
    <t xml:space="preserve">https://www.facebook.com/cardscentralsg</t>
  </si>
  <si>
    <t xml:space="preserve">Facebook lists buyback/grading/consignment services; a TikTok listing describes the Chinatown outlet offering Japanese booster boxes, singles and graded cards.</t>
  </si>
  <si>
    <t xml:space="preserve">https://www.facebook.com/cardscentralsg/ | https://www.tiktok.com/discover/pokemon-card-live-singapore?lang=en</t>
  </si>
  <si>
    <t xml:space="preserve">Concept City</t>
  </si>
  <si>
    <t xml:space="preserve">139 Jalan Besar, Singapore</t>
  </si>
  <si>
    <t xml:space="preserve">Sealed product; stock held back for regulars on new releases</t>
  </si>
  <si>
    <t xml:space="preserve">Pokémon singles and sealed product</t>
  </si>
  <si>
    <t xml:space="preserve">Open daily 10am-11pm per tcgTalk guide; forum user reports packs and other sealed product in stock (Little India / Jalan Besar). Named by TheSmartLocal as popular with serious collectors; tcgTalk uses it as a local ETB price reference.</t>
  </si>
  <si>
    <t xml:space="preserve">https://thesmartlocal.com/read/guide-to-pokemon-cards-in-singapore/ | https://tcgtalk.com/blog/pokemon-card-collecting-singapore-2026-complete-beginner-guide | https://elitefourum.com/t/what-to-buy-in-singapore/54564 | https://tcgtalk.com/blog/complete-pokemon-tcg-products-guide-singapore-collectors-2025-1766156861401</t>
  </si>
  <si>
    <t xml:space="preserve">DX Collection</t>
  </si>
  <si>
    <t xml:space="preserve">Parklane Shopping Mall, 35 Selegie Road #05-11, Singapore 188307</t>
  </si>
  <si>
    <t xml:space="preserve">Factory-sealed product (pre-orders) from authorised distributors; described as official reseller</t>
  </si>
  <si>
    <t xml:space="preserve">Pokémon, One Piece, MTG; factory-sealed product sourced from authorised distributors; pre-order driven catalogue</t>
  </si>
  <si>
    <t xml:space="preserve">https://dxcollection.com.sg</t>
  </si>
  <si>
    <t xml:space="preserve">Open daily 10am-11pm per GetGo (May 2026). Ranked #1 in GetGo's best TCG card shops list.</t>
  </si>
  <si>
    <t xml:space="preserve">https://getgo.sg/blog/best-tcg-card-shops-in-singapore</t>
  </si>
  <si>
    <t xml:space="preserve">Mana Pro</t>
  </si>
  <si>
    <t xml:space="preserve">Blk 203 Choa Chu Kang Ave 1, #B1-41, Singapore (per tcgTalk listing; verify)</t>
  </si>
  <si>
    <t xml:space="preserve">TCG shop incl. Pokémon</t>
  </si>
  <si>
    <t xml:space="preserve">+65 8812 4470</t>
  </si>
  <si>
    <t xml:space="preserve">GetGo (May 2026) suggests Mana Pro may have the biggest catalogue among its 12 picks. tcgTalk listing hours: 2-9:30pm Mon-Tue &amp; Thu-Sat, 2-8pm Sun (Wed not shown). Directory excerpt partly mixed with Agora Hobby listing - verify.</t>
  </si>
  <si>
    <t xml:space="preserve">https://tcgtalk.com/guides/pokemon-tcg-shops-singapore | https://getgo.sg/blog/best-tcg-card-shops-in-singapore</t>
  </si>
  <si>
    <t xml:space="preserve">Shane Collectibles &amp; Consignment</t>
  </si>
  <si>
    <t xml:space="preserve">Japanese-style Pokémon TCG shop; consignment</t>
  </si>
  <si>
    <t xml:space="preserve">https://www.instagram.com/shanecollectibles</t>
  </si>
  <si>
    <t xml:space="preserve">Open 12:30pm-9pm daily; profile says it was featured by Xiaohongshu and Channel NewsAsia (Instagram bio). Address not in results.</t>
  </si>
  <si>
    <t xml:space="preserve">https://www.instagram.com/shanecollectibles/</t>
  </si>
  <si>
    <t xml:space="preserve">Snore House</t>
  </si>
  <si>
    <t xml:space="preserve">Lucky Plaza, Orchard Road</t>
  </si>
  <si>
    <t xml:space="preserve">Pokémon trading, grading, buybacks; trade-ins</t>
  </si>
  <si>
    <t xml:space="preserve">GetGo (May 2026): shop that took off on TikTok before opening a storefront at Lucky Plaza; focuses on Pokémon trading, grading and buyback.</t>
  </si>
  <si>
    <t xml:space="preserve">Spearing Collectibles</t>
  </si>
  <si>
    <t xml:space="preserve">Woodlands</t>
  </si>
  <si>
    <t xml:space="preserve">Grading services / graded cards (eBay store lists grading)</t>
  </si>
  <si>
    <t xml:space="preserve">Pokémon TCG, collectibles, trading card games, grading</t>
  </si>
  <si>
    <t xml:space="preserve">eBay: spearingsg (https://www.ebay.de/str/spearingsg)</t>
  </si>
  <si>
    <t xml:space="preserve">Named by TheSmartLocal as popular with serious collectors. eBay store 'spearingsg' located in Singapore likely the same business (not confirmed).</t>
  </si>
  <si>
    <t xml:space="preserve">https://thesmartlocal.com/read/guide-to-pokemon-cards-in-singapore/ | https://www.ebay.de/str/spearingsg</t>
  </si>
  <si>
    <t xml:space="preserve">TCG Trading</t>
  </si>
  <si>
    <t xml:space="preserve">Pokémon products and card accessories</t>
  </si>
  <si>
    <t xml:space="preserve">https://www.instagram.com/tcgtrading</t>
  </si>
  <si>
    <t xml:space="preserve">Self-described as one of Singapore's top-selling outlets for Pokémon products and accessories.</t>
  </si>
  <si>
    <t xml:space="preserve">https://www.instagram.com/tcgtrading/</t>
  </si>
  <si>
    <t xml:space="preserve">1NONLY_TCG</t>
  </si>
  <si>
    <t xml:space="preserve">Card fairs</t>
  </si>
  <si>
    <t xml:space="preserve">Vintage PSA-graded slabs</t>
  </si>
  <si>
    <t xml:space="preserve">Vintage Pokémon, PSA graded</t>
  </si>
  <si>
    <t xml:space="preserve">https://www.instagram.com/1nonly_tcg</t>
  </si>
  <si>
    <t xml:space="preserve">Weekly card-fair vendor (tcgTalk vendor directory 2026).</t>
  </si>
  <si>
    <t xml:space="preserve">https://tcgtalk.com/guides/singapore-tcg-event-vendor-directory</t>
  </si>
  <si>
    <t xml:space="preserve">Agora Hobby</t>
  </si>
  <si>
    <t xml:space="preserve">French Road, Singapore (per tcgTalk directory; listing also mixed with Choa Chu Kang address)</t>
  </si>
  <si>
    <t xml:space="preserve">TCG hobby shop incl. Pokémon</t>
  </si>
  <si>
    <t xml:space="preserve">+65 9876 7183</t>
  </si>
  <si>
    <t xml:space="preserve">tcgTalk directory (Central). Phone appears under Agora Hobby but listing is jumbled with Mana Pro - confirm before calling.</t>
  </si>
  <si>
    <t xml:space="preserve">https://tcgtalk.com/guides/pokemon-tcg-shops-singapore</t>
  </si>
  <si>
    <t xml:space="preserve">All Blue Collectibles</t>
  </si>
  <si>
    <t xml:space="preserve">One Piece, Pokémon, Gundam</t>
  </si>
  <si>
    <t xml:space="preserve">https://www.instagram.com/allbluecollectibles</t>
  </si>
  <si>
    <t xml:space="preserve">Card shop open 3pm-10pm daily except Mondays (Instagram bio).</t>
  </si>
  <si>
    <t xml:space="preserve">https://www.instagram.com/allbluecollectibles/</t>
  </si>
  <si>
    <t xml:space="preserve">Apex Player's Guild</t>
  </si>
  <si>
    <t xml:space="preserve">High Street Centre, 1 North Bridge Road #02-02, Singapore</t>
  </si>
  <si>
    <t xml:space="preserve">+65 8228 4132</t>
  </si>
  <si>
    <t xml:space="preserve">Listed in tcgTalk directory (Central), verified Apr 2026.</t>
  </si>
  <si>
    <t xml:space="preserve">Archive94</t>
  </si>
  <si>
    <t xml:space="preserve">Graded slabs</t>
  </si>
  <si>
    <t xml:space="preserve">Graded Pokémon cards, budget Pikachu slabs</t>
  </si>
  <si>
    <t xml:space="preserve">https://www.instagram.com/the094archive</t>
  </si>
  <si>
    <t xml:space="preserve">Occasional card-fair vendor (tcgTalk vendor directory 2026).</t>
  </si>
  <si>
    <t xml:space="preserve">Azure Cards</t>
  </si>
  <si>
    <t xml:space="preserve">Online (Carousell)</t>
  </si>
  <si>
    <t xml:space="preserve">Japanese booster boxes (e.g., VMAX Climax box listed at S$220)</t>
  </si>
  <si>
    <t xml:space="preserve">Japanese Pokémon booster boxes</t>
  </si>
  <si>
    <t xml:space="preserve">Carousell: azurecards (https://www.carousell.sg/u/azurecards/)</t>
  </si>
  <si>
    <t xml:space="preserve">Carousell shop presenting itself as online store for Japanese booster boxes, claims lowest prices.</t>
  </si>
  <si>
    <t xml:space="preserve">https://www.carousell.sg/u/azurecards/</t>
  </si>
  <si>
    <t xml:space="preserve">Beyond Borders</t>
  </si>
  <si>
    <t xml:space="preserve">Card fairs / online</t>
  </si>
  <si>
    <t xml:space="preserve">Sealed product</t>
  </si>
  <si>
    <t xml:space="preserve">Extended-art border cards, sealed product</t>
  </si>
  <si>
    <t xml:space="preserve">https://www.instagram.com/beyondborders.tcg</t>
  </si>
  <si>
    <t xml:space="preserve">Weekly card-fair vendor; also sells online (tcgTalk vendor directory 2026).</t>
  </si>
  <si>
    <t xml:space="preserve">Blustery Collectibles</t>
  </si>
  <si>
    <t xml:space="preserve">West Singapore (card-fair vendor)</t>
  </si>
  <si>
    <t xml:space="preserve">Pokémon cards</t>
  </si>
  <si>
    <t xml:space="preserve">https://www.instagram.com/blusterycollectibles</t>
  </si>
  <si>
    <t xml:space="preserve">Weekly vendor at Singapore card fairs (tcgTalk vendor directory, May 2026 survey).</t>
  </si>
  <si>
    <t xml:space="preserve">https://tcgtalk.com/guides/singapore-tcg-event-vendor-directory | https://tcgtalk.com/guides/pokemon-tcg-shops-singapore</t>
  </si>
  <si>
    <t xml:space="preserve">BokbokgehTCG</t>
  </si>
  <si>
    <t xml:space="preserve">PSA 10 slabs</t>
  </si>
  <si>
    <t xml:space="preserve">Pokémon PSA 10 slabs</t>
  </si>
  <si>
    <t xml:space="preserve">https://www.instagram.com/bokbokgeh.tcg</t>
  </si>
  <si>
    <t xml:space="preserve">Bricks Play</t>
  </si>
  <si>
    <t xml:space="preserve">183 Toa Payoh Central, Singapore</t>
  </si>
  <si>
    <t xml:space="preserve">TCG hobby store: Pokémon TCG, MTG, Flesh and Blood, Force of Will</t>
  </si>
  <si>
    <t xml:space="preserve">https://www.facebook.com/Bricksplay</t>
  </si>
  <si>
    <t xml:space="preserve">tcgTalk guide: dependable stock, open Wed-Mon. Facebook page showed an 'unavailable' notice when searched - verify.</t>
  </si>
  <si>
    <t xml:space="preserve">https://www.facebook.com/Bricksplay/ | https://tcgtalk.com/guides/pokemon-tcg-shops-singapore</t>
  </si>
  <si>
    <t xml:space="preserve">BX Collectibles</t>
  </si>
  <si>
    <t xml:space="preserve">Pokémon slabs and singles</t>
  </si>
  <si>
    <t xml:space="preserve">https://www.instagram.com/bxcollectibes</t>
  </si>
  <si>
    <t xml:space="preserve">Monthly card-fair vendor (tcgTalk vendor directory 2026). Handle as listed by tcgTalk.</t>
  </si>
  <si>
    <t xml:space="preserve">Caesar Cards</t>
  </si>
  <si>
    <t xml:space="preserve">930 Yishun Central 1, #01-123A, Singapore 760930</t>
  </si>
  <si>
    <t xml:space="preserve">Pokémon, Gundam, Yu-Gi-Oh!; compact shop under HDB block</t>
  </si>
  <si>
    <t xml:space="preserve">https://www.instagram.com/caesarcards_sg</t>
  </si>
  <si>
    <t xml:space="preserve">Hours 11:30am-7:30pm daily (tcgTalk directory). Small card store beside Northpoint City and Yishun Bus Interchange (Instagram bio). GetGo says prices slightly below official resellers.</t>
  </si>
  <si>
    <t xml:space="preserve">https://getgo.sg/blog/best-tcg-card-shops-in-singapore | https://tcgtalk.com/guides/pokemon-tcg-shops-singapore | https://www.instagram.com/caesarcards_sg/</t>
  </si>
  <si>
    <t xml:space="preserve">Capybara Cards</t>
  </si>
  <si>
    <t xml:space="preserve">High Street Centre, 1 North Bridge Road #02-16, Singapore (near Clarke Quay / City Hall MRT)</t>
  </si>
  <si>
    <t xml:space="preserve">Pokémon, MTG, Grand Archive; community-focused card shop</t>
  </si>
  <si>
    <t xml:space="preserve">https://www.facebook.com/capybaracards</t>
  </si>
  <si>
    <t xml:space="preserve">Community-focused shop a few minutes from Clarke Quay and City Hall MRT (Facebook).</t>
  </si>
  <si>
    <t xml:space="preserve">https://www.facebook.com/capybaracards/</t>
  </si>
  <si>
    <t xml:space="preserve">Card Alliance HQ</t>
  </si>
  <si>
    <t xml:space="preserve">Pokémon singles and graded slabs</t>
  </si>
  <si>
    <t xml:space="preserve">https://www.instagram.com/card_alliance_hq</t>
  </si>
  <si>
    <t xml:space="preserve">Instagram seller focused on singles and graded slabs.</t>
  </si>
  <si>
    <t xml:space="preserve">https://www.instagram.com/card_alliance_hq/</t>
  </si>
  <si>
    <t xml:space="preserve">Card Connect</t>
  </si>
  <si>
    <t xml:space="preserve">Pokémon, MTG, Riftbound, Cookie Run Braverse; newest booster packs; weekly events</t>
  </si>
  <si>
    <t xml:space="preserve">https://www.facebook.com/cardconnectsg</t>
  </si>
  <si>
    <t xml:space="preserve">Local hub with weekly events; Facebook lists email, Telegram and Instagram contacts (handles not shown in results).</t>
  </si>
  <si>
    <t xml:space="preserve">https://www.facebook.com/cardconnectsg/</t>
  </si>
  <si>
    <t xml:space="preserve">Card Nation</t>
  </si>
  <si>
    <t xml:space="preserve">Pokémon, MTG, Flesh and Blood, Hololive, Lorcana, Cardfight!! Vanguard</t>
  </si>
  <si>
    <t xml:space="preserve">https://www.facebook.com/CardNationSG</t>
  </si>
  <si>
    <t xml:space="preserve">Multi-TCG seller; storefront not confirmed in results.</t>
  </si>
  <si>
    <t xml:space="preserve">https://www.facebook.com/CardNationSG/</t>
  </si>
  <si>
    <t xml:space="preserve">Cardboard Crack Games</t>
  </si>
  <si>
    <t xml:space="preserve">Beauty World Centre, 144 Upper Bukit Timah Road #03-28</t>
  </si>
  <si>
    <t xml:space="preserve">Listed in tcgTalk directory.</t>
  </si>
  <si>
    <t xml:space="preserve">Cards Citadel</t>
  </si>
  <si>
    <t xml:space="preserve">10 North Bridge Road #02-5117, Singapore</t>
  </si>
  <si>
    <t xml:space="preserve">MTG, Pokémon, Flesh and Blood, One Piece; accessories (sleeves, deck boxes)</t>
  </si>
  <si>
    <t xml:space="preserve">https://www.facebook.com/singaporelocalshop</t>
  </si>
  <si>
    <t xml:space="preserve">Peut-être fermé</t>
  </si>
  <si>
    <t xml:space="preserve">Facebook listing showed as closed when searched; verify.</t>
  </si>
  <si>
    <t xml:space="preserve">https://www.facebook.com/singaporelocalshop/</t>
  </si>
  <si>
    <t xml:space="preserve">Cardshack SG</t>
  </si>
  <si>
    <t xml:space="preserve">3 Temasek Boulevard (Suntec City) plus other machine locations</t>
  </si>
  <si>
    <t xml:space="preserve">Pokémon TCG-themed vending machines</t>
  </si>
  <si>
    <t xml:space="preserve">https://www.facebook.com/cardshacksg</t>
  </si>
  <si>
    <t xml:space="preserve">Bills itself as Singapore's first Pokémon TCG-themed vending machine; multiple machine locations.</t>
  </si>
  <si>
    <t xml:space="preserve">https://www.facebook.com/cardshacksg/</t>
  </si>
  <si>
    <t xml:space="preserve">CC Collectibles</t>
  </si>
  <si>
    <t xml:space="preserve">Clementi</t>
  </si>
  <si>
    <t xml:space="preserve">Buy, sell and trade Pokémon cards</t>
  </si>
  <si>
    <t xml:space="preserve">https://www.instagram.com/cc_collectibles_sg</t>
  </si>
  <si>
    <t xml:space="preserve">Clementi-based Pokémon buy/sell/trade (Instagram).</t>
  </si>
  <si>
    <t xml:space="preserve">https://www.instagram.com/cc_collectibles_sg/</t>
  </si>
  <si>
    <t xml:space="preserve">Conformity TCG</t>
  </si>
  <si>
    <t xml:space="preserve">Pokémon TCG supplies - 'one-stop shop'</t>
  </si>
  <si>
    <t xml:space="preserve">https://www.instagram.com/conformity.tcg</t>
  </si>
  <si>
    <t xml:space="preserve">Hours 2-8pm daily, 1-9pm weekends (Instagram bio); also references @conformity.sg. Address not in results.</t>
  </si>
  <si>
    <t xml:space="preserve">https://www.instagram.com/conformity.tcg/</t>
  </si>
  <si>
    <t xml:space="preserve">Cosmic Vault</t>
  </si>
  <si>
    <t xml:space="preserve">Blk 928 Yishun Central 1, #01-145, Singapore</t>
  </si>
  <si>
    <t xml:space="preserve">+65 8020 5811</t>
  </si>
  <si>
    <t xml:space="preserve">Listed in tcgTalk directory (North), verified Apr 2026.</t>
  </si>
  <si>
    <t xml:space="preserve">Excel CS</t>
  </si>
  <si>
    <t xml:space="preserve">846 Yishun Ring Road, #01-3673, Singapore 760846 (Khatib)</t>
  </si>
  <si>
    <t xml:space="preserve">+65 9101 7796</t>
  </si>
  <si>
    <t xml:space="preserve">Hours Tue-Sun 1pm-9pm per tcgTalk directory (verified Apr 2026).</t>
  </si>
  <si>
    <t xml:space="preserve">Flagship Games</t>
  </si>
  <si>
    <t xml:space="preserve">214 Bishan Street 23, #B1-223, Singapore</t>
  </si>
  <si>
    <t xml:space="preserve">+65 8060 6978</t>
  </si>
  <si>
    <t xml:space="preserve">Listed in tcgTalk directory (Northeast), verified Apr 2026.</t>
  </si>
  <si>
    <t xml:space="preserve">ForFunTCG</t>
  </si>
  <si>
    <t xml:space="preserve">Graded cards</t>
  </si>
  <si>
    <t xml:space="preserve">Pokémon &amp; One Piece singles and graded cards</t>
  </si>
  <si>
    <t xml:space="preserve">https://www.instagram.com/forfun_tcg</t>
  </si>
  <si>
    <t xml:space="preserve">FulfillmentTCG</t>
  </si>
  <si>
    <t xml:space="preserve">Sealed product and graded slabs</t>
  </si>
  <si>
    <t xml:space="preserve">Pokémon sealed, singles and slabs</t>
  </si>
  <si>
    <t xml:space="preserve">https://www.instagram.com/fulfillmenttcg</t>
  </si>
  <si>
    <t xml:space="preserve">Singapore-based Pokémon seller (Instagram).</t>
  </si>
  <si>
    <t xml:space="preserve">https://www.instagram.com/fulfillmenttcg/</t>
  </si>
  <si>
    <t xml:space="preserve">gengapullz</t>
  </si>
  <si>
    <t xml:space="preserve">Graded slabs focus</t>
  </si>
  <si>
    <t xml:space="preserve">Graded Pokémon slabs</t>
  </si>
  <si>
    <t xml:space="preserve">https://www.instagram.com/gengapullz</t>
  </si>
  <si>
    <t xml:space="preserve">Gungar Studio TCG</t>
  </si>
  <si>
    <t xml:space="preserve">Online / occasional events</t>
  </si>
  <si>
    <t xml:space="preserve">Pokémon sealed product</t>
  </si>
  <si>
    <t xml:space="preserve">https://www.instagram.com/gungarstudiotcgsg</t>
  </si>
  <si>
    <t xml:space="preserve">Online seller, occasional card-fair vendor (tcgTalk vendor directory 2026).</t>
  </si>
  <si>
    <t xml:space="preserve">Inferno Gaming</t>
  </si>
  <si>
    <t xml:space="preserve">Toa Payoh</t>
  </si>
  <si>
    <t xml:space="preserve">Pokémon TCG with active competitive community</t>
  </si>
  <si>
    <t xml:space="preserve">tcgTalk guide: open until midnight daily; active competitive Pokémon community.</t>
  </si>
  <si>
    <t xml:space="preserve">https://tcgtalk.com/guides/pokemon-tcg-shops-singapore | https://tcgtalk.com/blog/pokemon-card-collecting-singapore-2026-complete-beginner-guide</t>
  </si>
  <si>
    <t xml:space="preserve">JammTCG</t>
  </si>
  <si>
    <t xml:space="preserve">Graded slabs; sealed (per one listing)</t>
  </si>
  <si>
    <t xml:space="preserve">Pokémon &amp; Dragon Ball slabs, singles (one listing also mentions sealed)</t>
  </si>
  <si>
    <t xml:space="preserve">https://www.instagram.com/jammtcg</t>
  </si>
  <si>
    <t xml:space="preserve">Jeux Kingdom</t>
  </si>
  <si>
    <t xml:space="preserve">Orchard Plaza, 150 Orchard Road #04-36, Singapore</t>
  </si>
  <si>
    <t xml:space="preserve">+65 8279 9819</t>
  </si>
  <si>
    <t xml:space="preserve">Jiggle TCG</t>
  </si>
  <si>
    <t xml:space="preserve">English Journey Together enhanced booster box at $349/unit</t>
  </si>
  <si>
    <t xml:space="preserve">English Pokémon sealed</t>
  </si>
  <si>
    <t xml:space="preserve">Carousell</t>
  </si>
  <si>
    <t xml:space="preserve">Appeared in Carousell SG English booster box listings.</t>
  </si>
  <si>
    <t xml:space="preserve">https://www.carousell.sg/hobbies-toys/toys-games/pokemon-booster-box-english/q-12/</t>
  </si>
  <si>
    <t xml:space="preserve">Kodomo Collectibles</t>
  </si>
  <si>
    <t xml:space="preserve">Card fairs / tournaments / prereleases</t>
  </si>
  <si>
    <t xml:space="preserve">Pokémon, One Piece, MTG; sealed product and slabs</t>
  </si>
  <si>
    <t xml:space="preserve">https://www.instagram.com/kodomocollection</t>
  </si>
  <si>
    <t xml:space="preserve">Monthly card-fair vendor; also at tournaments and prereleases (tcgTalk vendor directory 2026).</t>
  </si>
  <si>
    <t xml:space="preserve">Little Monster Cards</t>
  </si>
  <si>
    <t xml:space="preserve">Japanese booster boxes (Carousell listings)</t>
  </si>
  <si>
    <t xml:space="preserve">Pokémon sealed boxes</t>
  </si>
  <si>
    <t xml:space="preserve">Storefront-style seller appearing in Carousell SG Japanese booster box listings.</t>
  </si>
  <si>
    <t xml:space="preserve">https://www.carousell.sg/hobbies-toys/toys-games/japanese-pokemon-box/q-12/</t>
  </si>
  <si>
    <t xml:space="preserve">Luna TCG</t>
  </si>
  <si>
    <t xml:space="preserve">Vintage singles and graded slabs</t>
  </si>
  <si>
    <t xml:space="preserve">Vintage Pokémon singles and slabs</t>
  </si>
  <si>
    <t xml:space="preserve">https://www.instagram.com/lunatcg.sg</t>
  </si>
  <si>
    <t xml:space="preserve">Fortnightly card-fair vendor (tcgTalk vendor directory 2026).</t>
  </si>
  <si>
    <t xml:space="preserve">Lunar Toys N Games</t>
  </si>
  <si>
    <t xml:space="preserve">26 New Upper Changi Road, #01-664, Singapore</t>
  </si>
  <si>
    <t xml:space="preserve">Toys and TCG incl. Pokémon</t>
  </si>
  <si>
    <t xml:space="preserve">+65 9643 6378</t>
  </si>
  <si>
    <t xml:space="preserve">Listed in tcgTalk directory (East), verified Apr 2026.</t>
  </si>
  <si>
    <t xml:space="preserve">Lunarto</t>
  </si>
  <si>
    <t xml:space="preserve">Online (Shopee)</t>
  </si>
  <si>
    <t xml:space="preserve">Pokémon card packs / sealed</t>
  </si>
  <si>
    <t xml:space="preserve">Shopee: Lunarto</t>
  </si>
  <si>
    <t xml:space="preserve">Listed as a seller in Shopee SG blog (Nov 2023); seller location not stated.</t>
  </si>
  <si>
    <t xml:space="preserve">https://shopee.sg/blog/best-pokemon-cards-singapore/</t>
  </si>
  <si>
    <t xml:space="preserve">NIL TCG</t>
  </si>
  <si>
    <t xml:space="preserve">https://www.instagram.com/nil_tcg</t>
  </si>
  <si>
    <t xml:space="preserve">Pkmk.tcg</t>
  </si>
  <si>
    <t xml:space="preserve">73 Ubi Road 1, #10-52, Singapore 408733</t>
  </si>
  <si>
    <t xml:space="preserve">Pokémon, One Piece, sports cards</t>
  </si>
  <si>
    <t xml:space="preserve">https://www.instagram.com/pkmk.tcg</t>
  </si>
  <si>
    <t xml:space="preserve">Open 12pm-9pm, closed Mondays (Instagram bio).</t>
  </si>
  <si>
    <t xml:space="preserve">https://www.instagram.com/pkmk.tcg/</t>
  </si>
  <si>
    <t xml:space="preserve">PokeBroSG</t>
  </si>
  <si>
    <t xml:space="preserve">Pokémon singles (Snorlax focus) and slabs</t>
  </si>
  <si>
    <t xml:space="preserve">https://www.instagram.com/pokebrosg</t>
  </si>
  <si>
    <t xml:space="preserve">Polymon</t>
  </si>
  <si>
    <t xml:space="preserve">PSA graded slabs</t>
  </si>
  <si>
    <t xml:space="preserve">PSA graded Pokémon slabs</t>
  </si>
  <si>
    <t xml:space="preserve">https://www.instagram.com/polymontcg</t>
  </si>
  <si>
    <t xml:space="preserve">PremiumCollectibles</t>
  </si>
  <si>
    <t xml:space="preserve">Shopee: PremiumCollectibles</t>
  </si>
  <si>
    <t xml:space="preserve">Listed as a seller in Shopee SG blog 'Best Pokémon Card Packs in Singapore' (Nov 2023); seller location not stated.</t>
  </si>
  <si>
    <t xml:space="preserve">Retrogenerations</t>
  </si>
  <si>
    <t xml:space="preserve">Pokémon singles and graded slabs; consignment grading</t>
  </si>
  <si>
    <t xml:space="preserve">https://www.instagram.com/retrogen.collectibles</t>
  </si>
  <si>
    <t xml:space="preserve">Sanctuary Gaming</t>
  </si>
  <si>
    <t xml:space="preserve">Orchard Gateway, 277 Orchard Road</t>
  </si>
  <si>
    <t xml:space="preserve">Multi-game store: Pokémon, MTG, Yu-Gi-Oh!</t>
  </si>
  <si>
    <t xml:space="preserve">Mentioned in tcgTalk guides as a multi-TCG store at Orchard Gateway.</t>
  </si>
  <si>
    <t xml:space="preserve">Sidequest</t>
  </si>
  <si>
    <t xml:space="preserve">Sealed products</t>
  </si>
  <si>
    <t xml:space="preserve">Loose packs, sealed products; consignment grading</t>
  </si>
  <si>
    <t xml:space="preserve">https://www.instagram.com/sidequestsgco</t>
  </si>
  <si>
    <t xml:space="preserve">Fortnightly card-fair vendor; offers consignment grading (tcgTalk vendor directory 2026).</t>
  </si>
  <si>
    <t xml:space="preserve">SJ Hobby</t>
  </si>
  <si>
    <t xml:space="preserve">Vending machines at Marine Parade, Woodlands, Orchard, Katong Park, Hougang</t>
  </si>
  <si>
    <t xml:space="preserve">TCG card vending machines (locations updated via Telegram)</t>
  </si>
  <si>
    <t xml:space="preserve">https://www.instagram.com/sj_tcg</t>
  </si>
  <si>
    <t xml:space="preserve">Operates card vending machines across Singapore; exact product mix not confirmed in snippet.</t>
  </si>
  <si>
    <t xml:space="preserve">https://www.instagram.com/sj_tcg/</t>
  </si>
  <si>
    <t xml:space="preserve">Stack &amp; Snack</t>
  </si>
  <si>
    <t xml:space="preserve">Sealed product focus</t>
  </si>
  <si>
    <t xml:space="preserve">https://www.instagram.com/stacknsnacksg</t>
  </si>
  <si>
    <t xml:space="preserve">The Avid Collectors</t>
  </si>
  <si>
    <t xml:space="preserve">Shopee: The Avid Collectors</t>
  </si>
  <si>
    <t xml:space="preserve">The Imaginarium</t>
  </si>
  <si>
    <t xml:space="preserve">Pokémon, Digimon, One Piece, Union Arena, Lorcana, Flesh and Blood</t>
  </si>
  <si>
    <t xml:space="preserve">https://www.facebook.com/theimaginariumsg</t>
  </si>
  <si>
    <t xml:space="preserve">Multi-TCG store (Facebook page).</t>
  </si>
  <si>
    <t xml:space="preserve">https://www.facebook.com/theimaginariumsg/</t>
  </si>
  <si>
    <t xml:space="preserve">Tiger Vault TCG</t>
  </si>
  <si>
    <t xml:space="preserve">Excelsior Shopping Centre, Coleman Street, Singapore</t>
  </si>
  <si>
    <t xml:space="preserve">TCG store (surfaced in Pokémon TCG sealed/slab search)</t>
  </si>
  <si>
    <t xml:space="preserve">https://www.instagram.com/tigervaulttcg</t>
  </si>
  <si>
    <t xml:space="preserve">Physical store at Excelsior Shopping Centre (Instagram); Pokémon range not explicitly confirmed in snippet.</t>
  </si>
  <si>
    <t xml:space="preserve">https://www.instagram.com/tigervaulttcg/</t>
  </si>
  <si>
    <t xml:space="preserve">TradeZone</t>
  </si>
  <si>
    <t xml:space="preserve">Booster boxes (Carousell listings)</t>
  </si>
  <si>
    <t xml:space="preserve">Storefront-style seller appearing in Carousell SG Pokémon booster box listings.</t>
  </si>
  <si>
    <t xml:space="preserve">TTM.TCG</t>
  </si>
  <si>
    <t xml:space="preserve">PSA 10 Pokémon slabs</t>
  </si>
  <si>
    <t xml:space="preserve">https://www.instagram.com/ttm.tcg</t>
  </si>
  <si>
    <t xml:space="preserve">Utopia Games</t>
  </si>
  <si>
    <t xml:space="preserve">Blk 254 Bishan Street 22, #B1-444, Singapore</t>
  </si>
  <si>
    <t xml:space="preserve">+65 9617 9275</t>
  </si>
  <si>
    <t xml:space="preserve">Yukai Collectibles</t>
  </si>
  <si>
    <t xml:space="preserve">61 Ubi Road 1, #04-17, Singapore</t>
  </si>
  <si>
    <t xml:space="preserve">Pokémon TCG / collectibles</t>
  </si>
  <si>
    <t xml:space="preserve">+65 9392 3932</t>
  </si>
  <si>
    <t xml:space="preserve">Black Label TCG</t>
  </si>
  <si>
    <t xml:space="preserve">Serangoon North Avenue</t>
  </si>
  <si>
    <t xml:space="preserve">Listed in tcgTalk directory (filed under Central).</t>
  </si>
  <si>
    <t xml:space="preserve">DEKTCGShop</t>
  </si>
  <si>
    <t xml:space="preserve">Elite Trainer Boxes (used as local ETB price reference)</t>
  </si>
  <si>
    <t xml:space="preserve">Pokémon TCG sealed (ETBs etc.)</t>
  </si>
  <si>
    <t xml:space="preserve">Named by tcgTalk (2025) alongside Concept City as a local retailer price reference for sealed product.</t>
  </si>
  <si>
    <t xml:space="preserve">https://tcgtalk.com/blog/complete-pokemon-tcg-products-guide-singapore-collectors-2025-1766156861401</t>
  </si>
  <si>
    <t xml:space="preserve">Full-Yen Trading</t>
  </si>
  <si>
    <t xml:space="preserve">Choa Chu Kang</t>
  </si>
  <si>
    <t xml:space="preserve">Named by TheSmartLocal as popular with serious collectors.</t>
  </si>
  <si>
    <t xml:space="preserve">https://thesmartlocal.com/read/guide-to-pokemon-cards-in-singapore/</t>
  </si>
  <si>
    <t xml:space="preserve">Matt's Vault</t>
  </si>
  <si>
    <t xml:space="preserve">Tai Seng</t>
  </si>
  <si>
    <t xml:space="preserve">Millenium Game World (MGW)</t>
  </si>
  <si>
    <t xml:space="preserve">18 Boon Lay Way #10-98, Singapore</t>
  </si>
  <si>
    <t xml:space="preserve">TCG / games</t>
  </si>
  <si>
    <t xml:space="preserve">tcgTalk directory (West); Mon-Fri 12:00-18:00; email contact listed.</t>
  </si>
  <si>
    <t xml:space="preserve">UNC Kenny's Card Shop</t>
  </si>
  <si>
    <t xml:space="preserve">Booster boxes (TikTok creator bought two boxes for $220)</t>
  </si>
  <si>
    <t xml:space="preserve">Seen in TikTok Singapore Pokémon content; details limited.</t>
  </si>
  <si>
    <t xml:space="preserve">https://www.tiktok.com/discover/pokemon-card-live-singapore?lang=en | https://www.tiktok.com/discover/where-to-find-pokemon-packs-in-singapore</t>
  </si>
  <si>
    <t xml:space="preserve">West Daimonji Collectibles</t>
  </si>
  <si>
    <t xml:space="preserve">Named by TheSmartLocal (spelled 'Collectibiles') as popular with serious collectors.</t>
  </si>
  <si>
    <t xml:space="preserve">AKG Entertainment</t>
  </si>
  <si>
    <t xml:space="preserve">Official distributor of Indonesian-language sealed product (booster boxes, decks, promos)</t>
  </si>
  <si>
    <t xml:space="preserve">Official master licensee &amp; official distributor of Pokémon TCG (Pokémon Kartu, Indonesian-language) in Indonesia; runs PACS tournaments via certified Gym shops, Pokémon PLAY LAB pop-ups, Indomaret promo collab</t>
  </si>
  <si>
    <t xml:space="preserve">https://www.instagram.com/akg.entertainment</t>
  </si>
  <si>
    <t xml:space="preserve">Brand/licensee &amp; distributor rather than a retail shop; key upstream contact for authorised dealers. Ran Pokémon PLAY LAB at Kota Kasablanka (2024) and 23 Paskal Bandung (Nov–Dec 2025); reports &gt;14,000 active trainers in 2025.; HQ city not stated in sources; official activities (PLAY LAB, Academia, tournaments) centred in Jakarta.</t>
  </si>
  <si>
    <t xml:space="preserve">https://www.instagram.com/akg.entertainment/ | https://investasi.kontan.co.id/news/tren-kartu-pokémon-bangkit-pola-distribusi-dan-pembelian-ikut-berubah | https://www.medcom.id/teknologi/news-teknologi/4KZq0Egk-akg-games-dan-indomaret-bawa-kolaborasi-khusus-kartu-pokemon | https://www.industry.co.id/read/143873/akg-entertainment-perkenalkan-perwakilan-indonesia-di-2025-pokmon-world-championships-dan-seri-kartu-terbaru-hitam-putih</t>
  </si>
  <si>
    <t xml:space="preserve">Kidz Station</t>
  </si>
  <si>
    <t xml:space="preserve">Toy chain cited as a place to buy Pokémon cards</t>
  </si>
  <si>
    <t xml:space="preserve">Mentioned in an older (2+ yrs) Q&amp;A alongside Toys Kingdom and Comic Castle; Pokémon TCG range not verified.</t>
  </si>
  <si>
    <t xml:space="preserve">https://www.playbite.com/q/where-to-buy-pokemon-cards-in-jakarta</t>
  </si>
  <si>
    <t xml:space="preserve">PS Enterprise Official</t>
  </si>
  <si>
    <t xml:space="preserve">Jakarta (North)</t>
  </si>
  <si>
    <t xml:space="preserve">Japanese booster boxes (e.g., Shiny Treasure ex ~Rp3.7M)</t>
  </si>
  <si>
    <t xml:space="preserve">JP Pokémon sealed (booster boxes)</t>
  </si>
  <si>
    <t xml:space="preserve">Tokopedia: https://www.tokopedia.com/psenterprise</t>
  </si>
  <si>
    <t xml:space="preserve">Tokopedia store page shows ~333k items sold.</t>
  </si>
  <si>
    <t xml:space="preserve">https://www.tokopedia.com/psenterprise/page/6?perpage=20</t>
  </si>
  <si>
    <t xml:space="preserve">Sakura Store Jakarta</t>
  </si>
  <si>
    <t xml:space="preserve">Pokémon singles &amp; card collections</t>
  </si>
  <si>
    <t xml:space="preserve">Tokopedia: https://www.tokopedia.com/sakurastorejakarta</t>
  </si>
  <si>
    <t xml:space="preserve">Tokopedia store shows ~124,000 sales (highest among Pokémon sellers seen); visible listings mostly singles/collections rather than sealed.</t>
  </si>
  <si>
    <t xml:space="preserve">https://www.tokopedia.com/sakurastorejakarta/product</t>
  </si>
  <si>
    <t xml:space="preserve">Toys Kingdom</t>
  </si>
  <si>
    <t xml:space="preserve">Multiple (Surabaya, Medan, Denpasar/Badung, Yogyakarta, ...)</t>
  </si>
  <si>
    <t xml:space="preserve">Outlets incl. Tunjungan Plaza, Supermal Pakuwon, Galaxy Mall 1, Plaza Surabaya (Surabaya); Center Point, Deli Park (Medan); Living World Denpasar, Bali Galeria (Bali); Jogja City Mall</t>
  </si>
  <si>
    <t xml:space="preserve">Toy chain with Pokémon card catalog (Pokémon TCG products)</t>
  </si>
  <si>
    <t xml:space="preserve">https://www.ruparupa.com/toyskingdomonline</t>
  </si>
  <si>
    <t xml:space="preserve">Ruparupa (Toys Kingdom Online)</t>
  </si>
  <si>
    <t xml:space="preserve">Toy retailer, not TCG specialist; outlet stock not confirmed. Related banner 'Toys Gen' also listed in Surabaya.</t>
  </si>
  <si>
    <t xml:space="preserve">https://www.ruparupa.com/toyskingdomonline/jual/kartu-pokemon | https://www.ruparupa.com/toyskingdomonline/jual/pokemon-card</t>
  </si>
  <si>
    <t xml:space="preserve">Brotherhood Game Store Bandung</t>
  </si>
  <si>
    <t xml:space="preserve">Jl. Suryasumantri No.62A, Bandung</t>
  </si>
  <si>
    <t xml:space="preserve">Pokémon booster boxes via TikTok Shop; PSA/BGS grading</t>
  </si>
  <si>
    <t xml:space="preserve">Pokémon ID/EN/JP, Yu-Gi-Oh!, Beyblade X; PSA &amp; BGS grading submission specialist</t>
  </si>
  <si>
    <t xml:space="preserve">https://www.instagram.com/bgs_bandung62</t>
  </si>
  <si>
    <t xml:space="preserve">https://www.tiktok.com/@brotherhoodgamestorebdg</t>
  </si>
  <si>
    <t xml:space="preserve">TikTok Shop</t>
  </si>
  <si>
    <t xml:space="preserve">Open Tue–Sun 11:00–19:00.</t>
  </si>
  <si>
    <t xml:space="preserve">https://www.instagram.com/bgs_bandung62/ | https://www.tiktok.com/@brotherhoodgamestorebdg/video/7329144928565693701</t>
  </si>
  <si>
    <t xml:space="preserve">Gshock Ind</t>
  </si>
  <si>
    <t xml:space="preserve">Denpasar (Bali)</t>
  </si>
  <si>
    <t xml:space="preserve">ID (Indonesian) Pokémon TCG (e.g., SV6S etalase)</t>
  </si>
  <si>
    <t xml:space="preserve">Tokopedia: https://www.tokopedia.com/gshock-8888</t>
  </si>
  <si>
    <t xml:space="preserve">Tokopedia rating 4.9 from 1,727 reviews.</t>
  </si>
  <si>
    <t xml:space="preserve">https://www.tokopedia.com/gshock-8888/etalase/sv6s</t>
  </si>
  <si>
    <t xml:space="preserve">GeekingOut</t>
  </si>
  <si>
    <t xml:space="preserve">Sealed product in English, Japanese &amp; Indonesian</t>
  </si>
  <si>
    <t xml:space="preserve">EN/JP/ID Pokémon sealed product &amp; singles</t>
  </si>
  <si>
    <t xml:space="preserve">https://geekingout.id/</t>
  </si>
  <si>
    <t xml:space="preserve">Ships within Indonesia only.</t>
  </si>
  <si>
    <t xml:space="preserve">Nimitz Cards</t>
  </si>
  <si>
    <t xml:space="preserve">CGC graded slabs / grading submissions</t>
  </si>
  <si>
    <t xml:space="preserve">CGC Authorized Dealer; TCG (incl. Pokémon), sports, non-sports cards, comics, video games grading submissions</t>
  </si>
  <si>
    <t xml:space="preserve">https://www.instagram.com/nimitzcards</t>
  </si>
  <si>
    <t xml:space="preserve">62 21 4586 4434</t>
  </si>
  <si>
    <t xml:space="preserve">Accepted CGC submissions at Indonesia Game Expo (Tangerang, booth T15, Oct 2024).; City inferred from +62 21 (Jakarta area) phone code.</t>
  </si>
  <si>
    <t xml:space="preserve">https://cgccards.com/news/article/13405</t>
  </si>
  <si>
    <t xml:space="preserve">TeknoTrend ID</t>
  </si>
  <si>
    <t xml:space="preserve">Jakarta (Central)</t>
  </si>
  <si>
    <t xml:space="preserve">Japanese booster boxes: White Flare, Glory of Team Rocket, Black Bolt, VSTAR Universe (~Rp3.4–5.0M)</t>
  </si>
  <si>
    <t xml:space="preserve">JP Pokémon sealed</t>
  </si>
  <si>
    <t xml:space="preserve">Seen in Tokopedia search listings for Japanese Pokémon boxes.</t>
  </si>
  <si>
    <t xml:space="preserve">https://www.tokopedia.com/find/kartu-pokemon-box-jepang | https://www.tokopedia.com/find/pokemon-card-japan-box</t>
  </si>
  <si>
    <t xml:space="preserve">LVL100 Poke Store (Pokelvl100)</t>
  </si>
  <si>
    <t xml:space="preserve">JP booster boxes: Mega Symphonia (Rp2.22M), Mega Inferno X (Rp3.96M)</t>
  </si>
  <si>
    <t xml:space="preserve">EN &amp; JP Pokémon only (est. 2023)</t>
  </si>
  <si>
    <t xml:space="preserve">https://www.instagram.com/lvl100pokestore.id</t>
  </si>
  <si>
    <t xml:space="preserve">Tokopedia (Pokelvl100) | TikTok Shop</t>
  </si>
  <si>
    <t xml:space="preserve">IG 'Pokemon TCG Store est.2023'; Tokopedia store 'Pokelvl100' (North Jakarta) – likely same business.</t>
  </si>
  <si>
    <t xml:space="preserve">https://www.instagram.com/lvl100pokestore.id/ | https://www.tokopedia.com/find/kartu-pokemon-box-jepang</t>
  </si>
  <si>
    <t xml:space="preserve">Pokehunt</t>
  </si>
  <si>
    <t xml:space="preserve">Pluit, North Jakarta</t>
  </si>
  <si>
    <t xml:space="preserve">Pokémon TCG marketplace: buy, sell, trade Pokémon &amp; TCG collectibles</t>
  </si>
  <si>
    <t xml:space="preserve">https://www.instagram.com/pokehuntid</t>
  </si>
  <si>
    <t xml:space="preserve">Bills itself 'Indonesia #1 Pokémon TCG marketplace'; contact via WhatsApp (number not seen).</t>
  </si>
  <si>
    <t xml:space="preserve">https://www.instagram.com/pokehuntid/</t>
  </si>
  <si>
    <t xml:space="preserve">PokeDoy</t>
  </si>
  <si>
    <t xml:space="preserve">Jakarta (West)</t>
  </si>
  <si>
    <t xml:space="preserve">ID booster boxes (Kilau Hitam Rp1.249M, Topeng Transfigurasi SV6S Rp2.99M); sells sealed master cases (24 boxes) with bulk bonus</t>
  </si>
  <si>
    <t xml:space="preserve">ID (Indonesian) Pokémon sealed: booster packs/boxes (Kilau Hitam, Paradoks Andalan, Pertemuan Paradoks, Harta Berkilau, Topeng Transfigurasi)</t>
  </si>
  <si>
    <t xml:space="preserve">Tokopedia: https://www.tokopedia.com/pokedoy</t>
  </si>
  <si>
    <t xml:space="preserve">Bulk offer: buy 23 boxes get 1 free; 24 boxes ship as sealed master case.; Tokopedia page shows ~6,082 sales.</t>
  </si>
  <si>
    <t xml:space="preserve">https://www.tokopedia.com/pokedoy/product | https://www.tokopedia.com/pokedoy/kartu-pokemon-tcg-indonesia-booster-pack-box-card-original-asli-id-ori-booster-box-kilau-hitam-a7991</t>
  </si>
  <si>
    <t xml:space="preserve">Zard Mafia Store</t>
  </si>
  <si>
    <t xml:space="preserve">Magelang</t>
  </si>
  <si>
    <t xml:space="preserve">PSA-graded Charizards (PSA 8 ~Rp3M up to PSA 10 3-card lot Rp26M); 4-card sequential KFC Charizard PSA 10 set Rp22M; 25th Anniversary Charizard Rp5M</t>
  </si>
  <si>
    <t xml:space="preserve">Pokémon singles (Charizard focus), graded cards, mystery boxes, 'pull game'; own grading label 'Zard Mafia Grading' (ZMG)</t>
  </si>
  <si>
    <t xml:space="preserve">Tokopedia: https://www.tokopedia.com/charizardmafiastore</t>
  </si>
  <si>
    <t xml:space="preserve">Tokopedia URL slug 'charizardmafiastore'; rating 5.0 from ~3,600 ratings, ~9,200 items sold; ~30 pages of listings.</t>
  </si>
  <si>
    <t xml:space="preserve">https://www.tokopedia.com/charizardmafiastore/etalase/sold | https://www.tokopedia.com/charizardmafiastore/page/4?perpage=20 | https://www.tokopedia.com/find/kartu-pokemon-charizard-ex-terastal</t>
  </si>
  <si>
    <t xml:space="preserve">PocattoTCG</t>
  </si>
  <si>
    <t xml:space="preserve">Medan</t>
  </si>
  <si>
    <t xml:space="preserve">Japanese &amp; English sealed booster boxes and packs</t>
  </si>
  <si>
    <t xml:space="preserve">Original JP &amp; EN Pokémon cards; sealed boxes &amp; packs; online only</t>
  </si>
  <si>
    <t xml:space="preserve">https://www.pocattotcg.com/</t>
  </si>
  <si>
    <t xml:space="preserve">https://www.instagram.com/pocatto_tcg</t>
  </si>
  <si>
    <t xml:space="preserve">Medan-based, online only; fast nationwide shipping.</t>
  </si>
  <si>
    <t xml:space="preserve">https://www.instagram.com/pocatto_tcg/ | https://www.pocattotcg.com/</t>
  </si>
  <si>
    <t xml:space="preserve">VOQ</t>
  </si>
  <si>
    <t xml:space="preserve">Pokémon singles: SR/SSR, GX</t>
  </si>
  <si>
    <t xml:space="preserve">Tokopedia: https://www.tokopedia.com/voq</t>
  </si>
  <si>
    <t xml:space="preserve">Tokopedia rating 5.0 from 6,587 reviews.</t>
  </si>
  <si>
    <t xml:space="preserve">https://www.tokopedia.com/voq/etalase/pokemon-sr-ssr | https://www.tokopedia.com/voq/etalase/pokemon-gx</t>
  </si>
  <si>
    <t xml:space="preserve">Gerbera's Corner</t>
  </si>
  <si>
    <t xml:space="preserve">Pokémon TCG, MTG, board games, model kits</t>
  </si>
  <si>
    <t xml:space="preserve">https://www.instagram.com/gerberas.corner</t>
  </si>
  <si>
    <t xml:space="preserve">Has a Google Maps listing under the same name (link not captured).</t>
  </si>
  <si>
    <t xml:space="preserve">https://www.instagram.com/gerberas.corner/</t>
  </si>
  <si>
    <t xml:space="preserve">IndoPokeMart</t>
  </si>
  <si>
    <t xml:space="preserve">Online Pokémon store focused on genuine Japanese Pokémon cards</t>
  </si>
  <si>
    <t xml:space="preserve">https://www.instagram.com/indopokemart</t>
  </si>
  <si>
    <t xml:space="preserve">Email listed in IG bio (not captured).</t>
  </si>
  <si>
    <t xml:space="preserve">https://www.instagram.com/indopokemart/</t>
  </si>
  <si>
    <t xml:space="preserve">Kado (Kado.Asia / Kado Card Shop)</t>
  </si>
  <si>
    <t xml:space="preserve">Buys &amp; sells cards: Pokémon, One Piece, Dragon Ball; singles &amp; accessories</t>
  </si>
  <si>
    <t xml:space="preserve">https://www.instagram.com/kado.asia</t>
  </si>
  <si>
    <t xml:space="preserve">Two IG handles seen (@kado.asia, @kado.cardshop) – assumed same brand; @kado.cardshop links to a Facebook page and Tokopedia store.</t>
  </si>
  <si>
    <t xml:space="preserve">https://www.instagram.com/kado.asia/ | https://www.instagram.com/kado.cardshop/</t>
  </si>
  <si>
    <t xml:space="preserve">Kyubimart</t>
  </si>
  <si>
    <t xml:space="preserve">JP Pokémon cards (SAR singles)</t>
  </si>
  <si>
    <t xml:space="preserve">https://www.tokopedia.com/find/pokemon-card-sar-japan</t>
  </si>
  <si>
    <t xml:space="preserve">Pyokkemon TCG</t>
  </si>
  <si>
    <t xml:space="preserve">Budget Pokémon TCG cards (original)</t>
  </si>
  <si>
    <t xml:space="preserve">https://www.instagram.com/pyokkemontcg</t>
  </si>
  <si>
    <t xml:space="preserve">IG name 'Jual Kartu Pokemon TCG Murah Meriah'; links to Tokopedia shop.</t>
  </si>
  <si>
    <t xml:space="preserve">https://www.instagram.com/pyokkemontcg/</t>
  </si>
  <si>
    <t xml:space="preserve">Tangguhman Toys</t>
  </si>
  <si>
    <t xml:space="preserve">ID Pokémon booster packs, all series</t>
  </si>
  <si>
    <t xml:space="preserve">Tokopedia: https://www.tokopedia.com/tangguhman-toys</t>
  </si>
  <si>
    <t xml:space="preserve">https://www.tokopedia.com/tangguhman-toys/kartu-tcg-pokemon-indonesia-booster-pack-original-all-series-s9a</t>
  </si>
  <si>
    <t xml:space="preserve">Ruang dan Kartu TCG</t>
  </si>
  <si>
    <t xml:space="preserve">Kopi Ruang Publik, Jl. Dewi Sartika No.49A, Bandung</t>
  </si>
  <si>
    <t xml:space="preserve">TCG space inside a coffee shop</t>
  </si>
  <si>
    <t xml:space="preserve">https://www.instagram.com/ruangdankartu</t>
  </si>
  <si>
    <t xml:space="preserve">Open Sun–Fri 16:00–23:00. Pokémon not explicitly confirmed in snippet.</t>
  </si>
  <si>
    <t xml:space="preserve">https://www.instagram.com/ruangdankartu/</t>
  </si>
  <si>
    <t xml:space="preserve">Blesshop TCG</t>
  </si>
  <si>
    <t xml:space="preserve">Banjarmasin</t>
  </si>
  <si>
    <t xml:space="preserve">Pokémon, One Piece, Yu-Gi-Oh!</t>
  </si>
  <si>
    <t xml:space="preserve">https://www.instagram.com/blesshop_tcg</t>
  </si>
  <si>
    <t xml:space="preserve">https://www.instagram.com/blesshop_tcg/</t>
  </si>
  <si>
    <t xml:space="preserve">Valora TCG</t>
  </si>
  <si>
    <t xml:space="preserve">ID Pokémon incl. Indomaret special sets</t>
  </si>
  <si>
    <t xml:space="preserve">https://www.tokopedia.com/find/kartu-set-pokemon-indomaret</t>
  </si>
  <si>
    <t xml:space="preserve">Jakarta Pokemon Store</t>
  </si>
  <si>
    <t xml:space="preserve">Graded slabs / PSA submission service</t>
  </si>
  <si>
    <t xml:space="preserve">Pokémon buy/sell/trade; graded cards services: slab cracking, pre-grading, PSA submission</t>
  </si>
  <si>
    <t xml:space="preserve">https://www.instagram.com/jakartapokemonstore</t>
  </si>
  <si>
    <t xml:space="preserve">Profile advertised an event in Aug 2026.</t>
  </si>
  <si>
    <t xml:space="preserve">https://www.instagram.com/jakartapokemonstore/</t>
  </si>
  <si>
    <t xml:space="preserve">Mr. Sheva Store</t>
  </si>
  <si>
    <t xml:space="preserve">English Destined Rivals SV10 booster box (18 packs), ready stock Jakarta</t>
  </si>
  <si>
    <t xml:space="preserve">EN Pokémon sealed</t>
  </si>
  <si>
    <t xml:space="preserve">Tokopedia: https://www.tokopedia.com/mrshevastore</t>
  </si>
  <si>
    <t xml:space="preserve">https://www.tokopedia.com/mrshevastore/destined-rivals-booster-box-sv10-18ct-pokemon-english-18-booster-1731574790966249462</t>
  </si>
  <si>
    <t xml:space="preserve">TCG pro</t>
  </si>
  <si>
    <t xml:space="preserve">ID booster boxes Matahari &amp; Bulan AS3a / AS4b (Rp950k–975k)</t>
  </si>
  <si>
    <t xml:space="preserve">ID Pokémon sealed</t>
  </si>
  <si>
    <t xml:space="preserve">https://www.tokopedia.com/find/kartu-pokemon-box-asli</t>
  </si>
  <si>
    <t xml:space="preserve">Pokemon Bunta</t>
  </si>
  <si>
    <t xml:space="preserve">Jakarta (East)</t>
  </si>
  <si>
    <t xml:space="preserve">Pokémon mystery/secret boxes, singles</t>
  </si>
  <si>
    <t xml:space="preserve">250+ sales on mystery box listing.</t>
  </si>
  <si>
    <t xml:space="preserve">https://www.tokopedia.com/find/secret-box-pokemon-tcg</t>
  </si>
  <si>
    <t xml:space="preserve">Metalflakes Pokemon &amp; HW</t>
  </si>
  <si>
    <t xml:space="preserve">ID Pokémon: sealed Indomaret promo cards; Hot Wheels</t>
  </si>
  <si>
    <t xml:space="preserve">250+ units sold on promo listing.</t>
  </si>
  <si>
    <t xml:space="preserve">https://www.tokopedia.com/find/kartu-pokemon-indomaret</t>
  </si>
  <si>
    <t xml:space="preserve">Ins Point</t>
  </si>
  <si>
    <t xml:space="preserve">Jakarta (South)</t>
  </si>
  <si>
    <t xml:space="preserve">English Chaos Rising booster boxes (18-pack ~Rp2.35M, 36-pack ~Rp4.7M) on pre-order</t>
  </si>
  <si>
    <t xml:space="preserve">EN Pokémon sealed, pre-orders</t>
  </si>
  <si>
    <t xml:space="preserve">Seen in Tokopedia search listings for English booster boxes.</t>
  </si>
  <si>
    <t xml:space="preserve">https://www.tokopedia.com/find/pokemon-booster-box-english</t>
  </si>
  <si>
    <t xml:space="preserve">BintangTimurSelindo</t>
  </si>
  <si>
    <t xml:space="preserve">JP MEGA Abyss Eye booster box (30 packs, Rp2.699M)</t>
  </si>
  <si>
    <t xml:space="preserve">Seen in Tokopedia search listings.</t>
  </si>
  <si>
    <t xml:space="preserve">https://www.tokopedia.com/find/tcg-pokemon-1-box</t>
  </si>
  <si>
    <t xml:space="preserve">Littleroot Town - Pokémon Gym Shop</t>
  </si>
  <si>
    <t xml:space="preserve">Tomang, West Jakarta</t>
  </si>
  <si>
    <t xml:space="preserve">Pokémon Gym shop; weekly battles Mon/Wed/Fri 19:00</t>
  </si>
  <si>
    <t xml:space="preserve">https://www.instagram.com/littleroottown.id</t>
  </si>
  <si>
    <t xml:space="preserve">Self-described Pokémon Gym Shop (official certification not verified).</t>
  </si>
  <si>
    <t xml:space="preserve">https://www.instagram.com/littleroottown.id/</t>
  </si>
  <si>
    <t xml:space="preserve">Local Game Store Tanjung Duren (Sultan Pokebab)</t>
  </si>
  <si>
    <t xml:space="preserve">Tanjung Duren, West Jakarta</t>
  </si>
  <si>
    <t xml:space="preserve">Pokémon cards (LGS)</t>
  </si>
  <si>
    <t xml:space="preserve">https://www.instagram.com/sultanpokebab_</t>
  </si>
  <si>
    <t xml:space="preserve">https://www.instagram.com/sultanpokebab_/</t>
  </si>
  <si>
    <t xml:space="preserve">RawrCard.TCG</t>
  </si>
  <si>
    <t xml:space="preserve">JP MEGA Dream ex High Class Pack booster box (Rp2.369M)</t>
  </si>
  <si>
    <t xml:space="preserve">https://www.tokopedia.com/find/tcg-pokemon-jepang</t>
  </si>
  <si>
    <t xml:space="preserve">Shields Tcg</t>
  </si>
  <si>
    <t xml:space="preserve">Sealed S5R booster box (Rp500k)</t>
  </si>
  <si>
    <t xml:space="preserve">Pokémon sealed</t>
  </si>
  <si>
    <t xml:space="preserve">https://www.tokopedia.com/find/kartu-pokemon-1-box</t>
  </si>
  <si>
    <t xml:space="preserve">Toys Lifestyle</t>
  </si>
  <si>
    <t xml:space="preserve">Japanese booster boxes (~Rp1.7M)</t>
  </si>
  <si>
    <t xml:space="preserve">https://www.tokopedia.com/find/tcg-booster-box</t>
  </si>
  <si>
    <t xml:space="preserve">Markas Card &amp; Hobby Medan</t>
  </si>
  <si>
    <t xml:space="preserve">Jl. Danau Lindu No.148, Medan</t>
  </si>
  <si>
    <t xml:space="preserve">Pokémon TCG, Dragon Ball, Digimon, One Piece card games; board games; Pokémon Unite</t>
  </si>
  <si>
    <t xml:space="preserve">https://www.instagram.com/markas.hobby</t>
  </si>
  <si>
    <t xml:space="preserve">https://www.instagram.com/markas.hobby/</t>
  </si>
  <si>
    <t xml:space="preserve">Spark Eye</t>
  </si>
  <si>
    <t xml:space="preserve">ID Pokémon incl. Indomaret promo cards</t>
  </si>
  <si>
    <t xml:space="preserve">Velocity Hobby Centre</t>
  </si>
  <si>
    <t xml:space="preserve">https://www.instagram.com/velocityhobby</t>
  </si>
  <si>
    <t xml:space="preserve">Hours 14:00–22:00 weekdays, 12:00–22:00 weekends. Surfaced in Medan Pokémon TCG search; Pokémon range not explicitly confirmed.</t>
  </si>
  <si>
    <t xml:space="preserve">https://www.instagram.com/velocityhobby/</t>
  </si>
  <si>
    <t xml:space="preserve">TCGShop Pontianak</t>
  </si>
  <si>
    <t xml:space="preserve">Pontianak</t>
  </si>
  <si>
    <t xml:space="preserve">Pokémon, Yu-Gi-Oh!, MTG, Vanguard, Flesh and Blood, Shadowverse, board games</t>
  </si>
  <si>
    <t xml:space="preserve">https://www.instagram.com/tcgshopptk</t>
  </si>
  <si>
    <t xml:space="preserve">Phone number listed in IG bio (not captured).</t>
  </si>
  <si>
    <t xml:space="preserve">https://www.instagram.com/tcgshopptk/ | https://www.instagram.com/tcgshop.ptk/</t>
  </si>
  <si>
    <t xml:space="preserve">Semarang TCG</t>
  </si>
  <si>
    <t xml:space="preserve">Semarang</t>
  </si>
  <si>
    <t xml:space="preserve">Sealed product and grading service</t>
  </si>
  <si>
    <t xml:space="preserve">Pokémon, Dragon Ball, sports &amp; anime cards; sealed, singles, grading</t>
  </si>
  <si>
    <t xml:space="preserve">https://www.instagram.com/semarang.tcg</t>
  </si>
  <si>
    <t xml:space="preserve">City inferred from name.</t>
  </si>
  <si>
    <t xml:space="preserve">https://www.instagram.com/semarang.tcg/</t>
  </si>
  <si>
    <t xml:space="preserve">Happy Hobbies Headquarters</t>
  </si>
  <si>
    <t xml:space="preserve">Local game shop; TCG &amp; eTCG tournaments</t>
  </si>
  <si>
    <t xml:space="preserve">https://www.instagram.com/happyhobbieshq</t>
  </si>
  <si>
    <t xml:space="preserve">Pokémon not explicitly confirmed in snippet.</t>
  </si>
  <si>
    <t xml:space="preserve">https://www.instagram.com/happyhobbieshq/</t>
  </si>
  <si>
    <t xml:space="preserve">MABAR LGS Surabaya</t>
  </si>
  <si>
    <t xml:space="preserve">Greenery, Jl. Dharmahusada Indah II Blok L155 No.97, Surabaya</t>
  </si>
  <si>
    <t xml:space="preserve">Official local game store for Pokémon cards; weekly Friday 19:00 events</t>
  </si>
  <si>
    <t xml:space="preserve">https://www.instagram.com/mabar_sby</t>
  </si>
  <si>
    <t xml:space="preserve">https://www.instagram.com/mabar_sby/</t>
  </si>
  <si>
    <t xml:space="preserve">MARKAS TCG &amp; Hobbies Surabaya</t>
  </si>
  <si>
    <t xml:space="preserve">Kiosk 1, Klaska Residence, Jl. Jagir Wonokromo No.100, Wonokromo, Surabaya</t>
  </si>
  <si>
    <t xml:space="preserve">TCG &amp; hobbies</t>
  </si>
  <si>
    <t xml:space="preserve">https://www.instagram.com/markas.tcg</t>
  </si>
  <si>
    <t xml:space="preserve">https://www.tiktok.com/@markas.surabaya</t>
  </si>
  <si>
    <t xml:space="preserve">Surfaced in Pokémon TCG shop search; Pokémon not explicitly confirmed in snippet. Possibly related to Markas Medan (unverified).</t>
  </si>
  <si>
    <t xml:space="preserve">https://www.instagram.com/markas.tcg/</t>
  </si>
  <si>
    <t xml:space="preserve">MOR Mart</t>
  </si>
  <si>
    <t xml:space="preserve">Tangerang</t>
  </si>
  <si>
    <t xml:space="preserve">ID 'Ancaman Bayangan' 30-pack booster box (Rp800k)</t>
  </si>
  <si>
    <t xml:space="preserve">https://www.tokopedia.com/find/pokemon-indonesia-booster</t>
  </si>
  <si>
    <t xml:space="preserve">Hoopi.id</t>
  </si>
  <si>
    <t xml:space="preserve">Indonesian TCG marketplace &amp; auction platform (Pokémon)</t>
  </si>
  <si>
    <t xml:space="preserve">https://hoopi.id</t>
  </si>
  <si>
    <t xml:space="preserve">Platform rather than single seller – channel to reach many Pokémon sellers; promoted by creator Hyperpotatoes on TikTok (2025).</t>
  </si>
  <si>
    <t xml:space="preserve">https://www.tiktok.com/@hyperpotatoes.yt/video/7511970219330391352</t>
  </si>
  <si>
    <t xml:space="preserve">Kerajaan Hobby</t>
  </si>
  <si>
    <t xml:space="preserve">Hobby store surfacing repeatedly in Tokopedia Pokémon card/booster box searches</t>
  </si>
  <si>
    <t xml:space="preserve">Tokopedia: https://www.tokopedia.com/kerajaanhobby</t>
  </si>
  <si>
    <t xml:space="preserve">Product details not captured; verify Pokémon range.</t>
  </si>
  <si>
    <t xml:space="preserve">https://www.tokopedia.com/kerajaanhobby | https://www.tokopedia.com/kerajaanhobby/etalase/sold</t>
  </si>
  <si>
    <t xml:space="preserve">Ogre Neverland</t>
  </si>
  <si>
    <t xml:space="preserve">Card game shop with card game nights (Pokémon)</t>
  </si>
  <si>
    <t xml:space="preserve">Quoted in Jakarta Post Weekender (27 Aug 2026): card game nights so crowded they need waiting lists. City not confirmed.</t>
  </si>
  <si>
    <t xml:space="preserve">https://weekender.thejakartapost.com/prosperity-and-progress/2026/08/27/the-ludicrous-economics-of-pokmon-cards-in-indonesia.html</t>
  </si>
  <si>
    <t xml:space="preserve">Pokedealer.id</t>
  </si>
  <si>
    <t xml:space="preserve">High-value rare singles, god packs</t>
  </si>
  <si>
    <t xml:space="preserve">Pokémon card shop known in collector community; rare cards (e.g., Rayquaza VMAX), god packs</t>
  </si>
  <si>
    <t xml:space="preserve">https://www.tiktok.com/discover/poke-dealer-papipul</t>
  </si>
  <si>
    <t xml:space="preserve">Pokeray</t>
  </si>
  <si>
    <t xml:space="preserve">Pokémon cards incl. older rares</t>
  </si>
  <si>
    <t xml:space="preserve">Quoted in Jakarta Post Weekender (27 Aug 2026): sales volume grew tenfold over past year; older rares at least tripled in price. Format/city not confirmed.</t>
  </si>
  <si>
    <t xml:space="preserve">Shumitako</t>
  </si>
  <si>
    <t xml:space="preserve">TCG/CCG &amp; figure shop: Pokémon, One Piece, Lorcana, Riftbound; tournaments</t>
  </si>
  <si>
    <t xml:space="preserve">https://www.instagram.com/shumitako</t>
  </si>
  <si>
    <t xml:space="preserve">Open daily 12:00–20:00; ships across Indonesia and overseas. City not stated in snippet.</t>
  </si>
  <si>
    <t xml:space="preserve">https://www.instagram.com/shumitako/</t>
  </si>
  <si>
    <t xml:space="preserve">iki cardshop</t>
  </si>
  <si>
    <t xml:space="preserve">Card shop (also YouTube channel)</t>
  </si>
  <si>
    <t xml:space="preserve">https://www.instagram.com/ikicards</t>
  </si>
  <si>
    <t xml:space="preserve">Surfaced in Jakarta Pokémon card shop search; range not confirmed.</t>
  </si>
  <si>
    <t xml:space="preserve">https://www.instagram.com/ikicards/</t>
  </si>
  <si>
    <t xml:space="preserve">juragankartu</t>
  </si>
  <si>
    <t xml:space="preserve">Sports &amp; non-sports cards</t>
  </si>
  <si>
    <t xml:space="preserve">https://www.instagram.com/juragan.kartu</t>
  </si>
  <si>
    <t xml:space="preserve">Surfaced in Jakarta Pokémon card shop search; Pokémon not explicitly confirmed.</t>
  </si>
  <si>
    <t xml:space="preserve">https://www.instagram.com/juragan.kartu/</t>
  </si>
  <si>
    <t xml:space="preserve">ICC Cards &amp; Collectibles</t>
  </si>
  <si>
    <t xml:space="preserve">Mall of Indonesia, Kelapa Gading, North Jakarta</t>
  </si>
  <si>
    <t xml:space="preserve">Cards &amp; collectibles</t>
  </si>
  <si>
    <t xml:space="preserve">https://www.instagram.com/iccstoreindonesia</t>
  </si>
  <si>
    <t xml:space="preserve">Pokémon stock not confirmed in snippet; appeared in search for Jakarta Pokémon card shops.</t>
  </si>
  <si>
    <t xml:space="preserve">https://www.instagram.com/iccstoreindonesia/</t>
  </si>
  <si>
    <t xml:space="preserve">Monopolis</t>
  </si>
  <si>
    <t xml:space="preserve">Pluit Village Mall, Jakarta</t>
  </si>
  <si>
    <t xml:space="preserve">Hobby/board game shop with regular tournaments; Jakarta hobby shops stock Pokémon alongside MTG &amp; Catan</t>
  </si>
  <si>
    <t xml:space="preserve">Pokémon stock at this specific store not confirmed.</t>
  </si>
  <si>
    <t xml:space="preserve">https://boardoro.com/en/asia/indonesia/jakarta</t>
  </si>
  <si>
    <t xml:space="preserve">Arcanum Hobbies</t>
  </si>
  <si>
    <t xml:space="preserve">Kuningan City, Jakarta</t>
  </si>
  <si>
    <t xml:space="preserve">Hobby/TCG shop with regular tournaments (MTG, Pokémon etc.)</t>
  </si>
  <si>
    <t xml:space="preserve">TCGPokemonPLG</t>
  </si>
  <si>
    <t xml:space="preserve">Palembang</t>
  </si>
  <si>
    <t xml:space="preserve">Tokopedia: https://www.tokopedia.com/tcgpokemonplg</t>
  </si>
  <si>
    <t xml:space="preserve">Palembang-based Tokopedia seller; no official AKG affiliation seen.</t>
  </si>
  <si>
    <t xml:space="preserve">https://www.tokopedia.com/tcgpokemonplg</t>
  </si>
  <si>
    <t xml:space="preserve">UtopiaCards</t>
  </si>
  <si>
    <t xml:space="preserve">Pakuwon Trade Center, Ground floor CK15, Surabaya</t>
  </si>
  <si>
    <t xml:space="preserve">https://www.instagram.com/utopia_cards</t>
  </si>
  <si>
    <t xml:space="preserve">Surfaced in Pokémon TCG shop search; product range not stated in snippet.</t>
  </si>
  <si>
    <t xml:space="preserve">https://www.instagram.com/utopia_cards/</t>
  </si>
  <si>
    <t xml:space="preserve">TopDeck Games Center</t>
  </si>
  <si>
    <t xml:space="preserve">Tangerang (Gading Serpong)</t>
  </si>
  <si>
    <t xml:space="preserve">Games center / TCG</t>
  </si>
  <si>
    <t xml:space="preserve">https://www.instagram.com/topdeckgamescenter</t>
  </si>
  <si>
    <t xml:space="preserve">https://www.instagram.com/topdeckgamescenter/</t>
  </si>
  <si>
    <t xml:space="preserve">xollexio</t>
  </si>
  <si>
    <t xml:space="preserve">Collectibles/cards</t>
  </si>
  <si>
    <t xml:space="preserve">https://www.instagram.com/xollexio</t>
  </si>
  <si>
    <t xml:space="preserve">Surfaced in Pokémon card shop search; Jogja per profile name; range not confirmed.</t>
  </si>
  <si>
    <t xml:space="preserve">https://www.instagram.com/xollexio/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</si>
</sst>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okemon" displayName="TblPokemon" ref="A1:W272" headerRowCount="1" totalsRowCount="0" totalsRowShown="0">
  <autoFilter ref="A1:W272"/>
  <tableColumns count="23">
    <tableColumn id="1" name="#"/>
    <tableColumn id="2" name="Nom"/>
    <tableColumn id="3" name="Pays"/>
    <tableColumn id="4" name="Ville"/>
    <tableColumn id="5" name="Adresse / zone"/>
    <tableColumn id="6" name="Type"/>
    <tableColumn id="7" name="Taille reseller"/>
    <tableColumn id="8" name="Gros items (preuves)"/>
    <tableColumn id="9" name="Priorité"/>
    <tableColumn id="10" name="Spécialité (langues / produits)"/>
    <tableColumn id="11" name="Site web"/>
    <tableColumn id="12" name="Instagram"/>
    <tableColumn id="13" name="Facebook"/>
    <tableColumn id="14" name="TikTok"/>
    <tableColumn id="15" name="Téléphone / WhatsApp"/>
    <tableColumn id="16" name="Email"/>
    <tableColumn id="17" name="Marketplaces (Shopee, Lazada, Tokopedia…)"/>
    <tableColumn id="18" name="Google Maps"/>
    <tableColumn id="19" name="Vente en live"/>
    <tableColumn id="20" name="Statut"/>
    <tableColumn id="21" name="Nb canaux de contact"/>
    <tableColumn id="22" name="Notes"/>
    <tableColumn id="23" name="Sources"/>
  </tableColumns>
</table>
</file>

<file path=xl/tables/table2.xml><?xml version="1.0" encoding="utf-8"?>
<table xmlns="http://schemas.openxmlformats.org/spreadsheetml/2006/main" id="2" name="TblVinyles" displayName="TblVinyles" ref="A1:T216" headerRowCount="1" totalsRowCount="0" totalsRowShown="0">
  <autoFilter ref="A1:T216"/>
  <tableColumns count="20">
    <tableColumn id="1" name="#"/>
    <tableColumn id="2" name="Nom"/>
    <tableColumn id="3" name="Pays"/>
    <tableColumn id="4" name="Ville"/>
    <tableColumn id="5" name="Adresse / zone"/>
    <tableColumn id="6" name="Type"/>
    <tableColumn id="7" name="Spécialité"/>
    <tableColumn id="8" name="Site web"/>
    <tableColumn id="9" name="Instagram"/>
    <tableColumn id="10" name="Facebook"/>
    <tableColumn id="11" name="TikTok"/>
    <tableColumn id="12" name="Téléphone / WhatsApp"/>
    <tableColumn id="13" name="Email"/>
    <tableColumn id="14" name="Marketplaces (Shopee, Lazada, Discogs…)"/>
    <tableColumn id="15" name="Google Maps"/>
    <tableColumn id="16" name="Vente en live"/>
    <tableColumn id="17" name="Statut"/>
    <tableColumn id="18" name="Nb canaux de contact"/>
    <tableColumn id="19" name="Notes"/>
    <tableColumn id="20" name="Sourc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cebook.com/1979vinyl" TargetMode="External"/><Relationship Id="rId2" Type="http://schemas.openxmlformats.org/officeDocument/2006/relationships/hyperlink" Target="https://www.google.com/maps/search/?api=1&amp;query=1979+Vinyl+3rd+floor%2C+Fortune+Town%2C+1+Ratchadaphisek+Rd+%28MRT+Rama+9%29+-+per+Asia+City+Tha&#239;lande" TargetMode="External"/><Relationship Id="rId3" Type="http://schemas.openxmlformats.org/officeDocument/2006/relationships/hyperlink" Target="https://bk.asia-city.com/shopping/article/best-shops-buy-vinyl-records-portable-turntables-bangkok-3" TargetMode="External"/><Relationship Id="rId4" Type="http://schemas.openxmlformats.org/officeDocument/2006/relationships/hyperlink" Target="https://www.instagram.com/242recordsstore" TargetMode="External"/><Relationship Id="rId5" Type="http://schemas.openxmlformats.org/officeDocument/2006/relationships/hyperlink" Target="https://www.google.com/maps/search/?api=1&amp;query=242+Record+Store+Room+242%2C+2nd+floor%2C+River+City+Bangkok%2C+Charoen+Krung+24%2C+Bangkok+Tha&#239;lande" TargetMode="External"/><Relationship Id="rId6" Type="http://schemas.openxmlformats.org/officeDocument/2006/relationships/hyperlink" Target="https://www.instagram.com/242recordsstore/" TargetMode="External"/><Relationship Id="rId7" Type="http://schemas.openxmlformats.org/officeDocument/2006/relationships/hyperlink" Target="https://www.google.com/maps/search/?api=1&amp;query=Baa+Records+Small+storefront+on+Charoen+Krung+Rd+%28Entertainment+Project%29%2C+Bangkok%3B+main+base+in+Songkhla+Tha&#239;lande" TargetMode="External"/><Relationship Id="rId8" Type="http://schemas.openxmlformats.org/officeDocument/2006/relationships/hyperlink" Target="https://www.timeout.com/bangkok/th/music/entertainment-project" TargetMode="External"/><Relationship Id="rId9" Type="http://schemas.openxmlformats.org/officeDocument/2006/relationships/hyperlink" Target="https://www.google.com/maps/search/?api=1&amp;query=Bungkumhouse+Records+4th+floor%2C+Black+Amber+Building%2C+Sukhumvit+Soi+55+%28Thonglor%2C+between+Soi+5+and+7%29%2C+Bangkok+Tha&#239;lande" TargetMode="External"/><Relationship Id="rId10" Type="http://schemas.openxmlformats.org/officeDocument/2006/relationships/hyperlink" Target="https://www.timeout.com/bangkok/shopping/burngkumhouse-records" TargetMode="External"/><Relationship Id="rId11" Type="http://schemas.openxmlformats.org/officeDocument/2006/relationships/hyperlink" Target="https://www.google.com/maps/search/?api=1&amp;query=CD+Cosmos+Chatuchak%2C+Bangkok+Tha&#239;lande" TargetMode="External"/><Relationship Id="rId12" Type="http://schemas.openxmlformats.org/officeDocument/2006/relationships/hyperlink" Target="https://www.timeout.com/bangkok/th/music/cd-cosmos" TargetMode="External"/><Relationship Id="rId13" Type="http://schemas.openxmlformats.org/officeDocument/2006/relationships/hyperlink" Target="https://www.google.com/maps/search/?api=1&amp;query=Coconut+Records+Room+3027%2C+3rd+floor%2C+Fortune+Town%2C+Ratchadaphisek+Rd%2C+Din+Daeng%2C+Bangkok+Tha&#239;lande" TargetMode="External"/><Relationship Id="rId14" Type="http://schemas.openxmlformats.org/officeDocument/2006/relationships/hyperlink" Target="https://www.timeout.com/bangkok/music/coconut-records" TargetMode="External"/><Relationship Id="rId15" Type="http://schemas.openxmlformats.org/officeDocument/2006/relationships/hyperlink" Target="https://www.google.com/maps/search/?api=1&amp;query=DP+Music+Building+near+MRT+Rama+9%2C+Bangkok+Tha&#239;lande" TargetMode="External"/><Relationship Id="rId16" Type="http://schemas.openxmlformats.org/officeDocument/2006/relationships/hyperlink" Target="https://www.timeout.com/bangkok/th/music/dp-music" TargetMode="External"/><Relationship Id="rId17" Type="http://schemas.openxmlformats.org/officeDocument/2006/relationships/hyperlink" Target="https://www.google.com/maps/search/?api=1&amp;query=Fat+Black+Record+345+Thara+Rom+Alley%2C+Hua+Mak%2C+Bang+Kapi%2C+Bangkok+Tha&#239;lande" TargetMode="External"/><Relationship Id="rId18" Type="http://schemas.openxmlformats.org/officeDocument/2006/relationships/hyperlink" Target="https://www.timeout.com/bangkok/shopping/fat-black-record" TargetMode="External"/><Relationship Id="rId19" Type="http://schemas.openxmlformats.org/officeDocument/2006/relationships/hyperlink" Target="https://www.google.com/maps/search/?api=1&amp;query=Format+BKK+Charoen+Phon+1+Alley%2C+Ari%2C+Phaya+Thai%2C+Bangkok+Tha&#239;lande" TargetMode="External"/><Relationship Id="rId20" Type="http://schemas.openxmlformats.org/officeDocument/2006/relationships/hyperlink" Target="https://www.timeout.com/bangkok/music/best-record-shops-in-bangkok" TargetMode="External"/><Relationship Id="rId21" Type="http://schemas.openxmlformats.org/officeDocument/2006/relationships/hyperlink" Target="https://www.google.com/maps/search/?api=1&amp;query=Garage+Records+Lad+Phrao+Soi+8+%28Yaek+9%29%2C+Bangkok+Tha&#239;lande" TargetMode="External"/><Relationship Id="rId22" Type="http://schemas.openxmlformats.org/officeDocument/2006/relationships/hyperlink" Target="https://www.bkmagazine.com/arts-culture/where-to-find-bangkoks-best-record-stores-and-vinyl-bars/" TargetMode="External"/><Relationship Id="rId23" Type="http://schemas.openxmlformats.org/officeDocument/2006/relationships/hyperlink" Target="https://www.google.com/maps/search/?api=1&amp;query=Get+Back+and+Jude+Records+399+Thanon+Yaowaphanit%2C+Samphanthawong+%28Yaowarat%2FSong+Wat%29%2C+Bangkok%3B+pop-ups+at+Siam+Discovery+2F+and+Siam+Paragon+5F+%28Nextopia%29+Tha&#239;lande" TargetMode="External"/><Relationship Id="rId24" Type="http://schemas.openxmlformats.org/officeDocument/2006/relationships/hyperlink" Target="https://www.timeout.com/bangkok/music/get-back-and-jude-records" TargetMode="External"/><Relationship Id="rId25" Type="http://schemas.openxmlformats.org/officeDocument/2006/relationships/hyperlink" Target="https://www.google.com/maps/search/?api=1&amp;query=Hall+of+Fame+Records+3rd+floor+%283058%29%2C+Fortune+Town%2C+Ratchadaphisek+Rd%2C+Din+Daeng%2C+Bangkok+Tha&#239;lande" TargetMode="External"/><Relationship Id="rId26" Type="http://schemas.openxmlformats.org/officeDocument/2006/relationships/hyperlink" Target="https://www.timeout.com/bangkok/shopping/hall-of-fame-records" TargetMode="External"/><Relationship Id="rId27" Type="http://schemas.openxmlformats.org/officeDocument/2006/relationships/hyperlink" Target="https://www.google.com/maps/search/?api=1&amp;query=HAVE+YOU+HEARD%3F+Records+Entertainment+Project%2C+1107+Si+Phraya+Rd+%28Charoen+Krung+43+area%29%2C+Bang+Rak%2C+Bangkok+Tha&#239;lande" TargetMode="External"/><Relationship Id="rId28" Type="http://schemas.openxmlformats.org/officeDocument/2006/relationships/hyperlink" Target="https://www.timeout.com/bangkok/music/have-you-heard-records-entertainment-project" TargetMode="External"/><Relationship Id="rId29" Type="http://schemas.openxmlformats.org/officeDocument/2006/relationships/hyperlink" Target="https://www.instagram.com/morericerecords" TargetMode="External"/><Relationship Id="rId30" Type="http://schemas.openxmlformats.org/officeDocument/2006/relationships/hyperlink" Target="https://www.google.com/maps/search/?api=1&amp;query=More+Rice+Records+Sukhumvit+Soi+31+%2F+Phrom+Phong+back+sois+%28near+BTS+Phrom+Phong%29%2C+Bangkok+Tha&#239;lande" TargetMode="External"/><Relationship Id="rId31" Type="http://schemas.openxmlformats.org/officeDocument/2006/relationships/hyperlink" Target="https://www.instagram.com/morericerecords/" TargetMode="External"/><Relationship Id="rId32" Type="http://schemas.openxmlformats.org/officeDocument/2006/relationships/hyperlink" Target="https://www.google.com/maps/search/?api=1&amp;query=Nong+Taprachan+14+Tha+Prachan+%28Wang+Lang+%2F+Rot+Fai+Pier+Alley+area%29%2C+Phra+Borom+Maha+Ratchawang%2C+Phra+Nakhon%2C+Bangkok+Tha&#239;lande" TargetMode="External"/><Relationship Id="rId33" Type="http://schemas.openxmlformats.org/officeDocument/2006/relationships/hyperlink" Target="https://www.timeout.com/bangkok/music/nong-taprachan" TargetMode="External"/><Relationship Id="rId34" Type="http://schemas.openxmlformats.org/officeDocument/2006/relationships/hyperlink" Target="https://www.instagram.com/pprecordsrecords" TargetMode="External"/><Relationship Id="rId35" Type="http://schemas.openxmlformats.org/officeDocument/2006/relationships/hyperlink" Target="https://www.instagram.com/pprecordsrecords/" TargetMode="External"/><Relationship Id="rId36" Type="http://schemas.openxmlformats.org/officeDocument/2006/relationships/hyperlink" Target="https://www.instagram.com/recordrecord.th" TargetMode="External"/><Relationship Id="rId37" Type="http://schemas.openxmlformats.org/officeDocument/2006/relationships/hyperlink" Target="https://www.google.com/maps/search/?api=1&amp;query=Record+Record.+Pop-up+at+Foundry+Creative+Hub+%28per+IG%29+Tha&#239;lande" TargetMode="External"/><Relationship Id="rId38" Type="http://schemas.openxmlformats.org/officeDocument/2006/relationships/hyperlink" Target="https://www.instagram.com/recordrecord.th/" TargetMode="External"/><Relationship Id="rId39" Type="http://schemas.openxmlformats.org/officeDocument/2006/relationships/hyperlink" Target="https://www.google.com/maps/search/?api=1&amp;query=Record+Shop+%28Raan+Pan+Sieng%29+3+Soi+Pradiphat+19%2C+Pradiphat+Rd%2C+Samsen+Nai%2C+Phaya+Thai%2C+Bangkok+Tha&#239;lande" TargetMode="External"/><Relationship Id="rId40" Type="http://schemas.openxmlformats.org/officeDocument/2006/relationships/hyperlink" Target="https://www.timeout.com/bangkok/shopping/record-shop-raan-pan-sieng" TargetMode="External"/><Relationship Id="rId41" Type="http://schemas.openxmlformats.org/officeDocument/2006/relationships/hyperlink" Target="https://www.instagram.com/recordthis_vinyl" TargetMode="External"/><Relationship Id="rId42" Type="http://schemas.openxmlformats.org/officeDocument/2006/relationships/hyperlink" Target="https://www.google.com/maps/search/?api=1&amp;query=Record+This+3rd+floor%2C+Central+Ladprao%2C+Bangkok+Tha&#239;lande" TargetMode="External"/><Relationship Id="rId43" Type="http://schemas.openxmlformats.org/officeDocument/2006/relationships/hyperlink" Target="https://www.instagram.com/recordthis_vinyl/" TargetMode="External"/><Relationship Id="rId44" Type="http://schemas.openxmlformats.org/officeDocument/2006/relationships/hyperlink" Target="https://www.instagram.com/recordoffee" TargetMode="External"/><Relationship Id="rId45" Type="http://schemas.openxmlformats.org/officeDocument/2006/relationships/hyperlink" Target="https://www.google.com/maps/search/?api=1&amp;query=recordoffee+%28record+%26+coffee%29+Charoen+Krung+29%2C+Bangkok+Tha&#239;lande" TargetMode="External"/><Relationship Id="rId46" Type="http://schemas.openxmlformats.org/officeDocument/2006/relationships/hyperlink" Target="https://www.instagram.com/recordoffee/" TargetMode="External"/><Relationship Id="rId47" Type="http://schemas.openxmlformats.org/officeDocument/2006/relationships/hyperlink" Target="https://www.google.com/maps/search/?api=1&amp;query=Recoroom+Vinyl+%26+Vintage+Audio+Building+fronting+Ekamai+bus+terminal+%28Ekkamai%29%2C+Khlong+Toei%2C+Bangkok+10110+%28older+listings%3A+Ekkamai+10+%2F+Sukhumvit+Soi+31+%2F+Thetsaban+Songkhro+Rd%2C+Chatucha" TargetMode="External"/><Relationship Id="rId48" Type="http://schemas.openxmlformats.org/officeDocument/2006/relationships/hyperlink" Target="https://www.timeout.com/bangkok/music/recoroom-vinyl-and-vintage-audio" TargetMode="External"/><Relationship Id="rId49" Type="http://schemas.openxmlformats.org/officeDocument/2006/relationships/hyperlink" Target="https://www.google.com/maps/search/?api=1&amp;query=Sex+Record+Shop+2nd+floor%2C+Seenspace%2C+Thonglor+Soi+13%2C+Bangkok+Tha&#239;lande" TargetMode="External"/><Relationship Id="rId50" Type="http://schemas.openxmlformats.org/officeDocument/2006/relationships/hyperlink" Target="https://www.bkmagazine.com/arts-culture/where-to-find-bangkoks-best-record-stores-and-vinyl-bars/" TargetMode="External"/><Relationship Id="rId51" Type="http://schemas.openxmlformats.org/officeDocument/2006/relationships/hyperlink" Target="https://www.google.com/maps/search/?api=1&amp;query=Tang+Siang+Thai+Charoenkrung+Soi+11+%28near+MRT+Sam+Yot%29%2C+Bangkok+Tha&#239;lande" TargetMode="External"/><Relationship Id="rId52" Type="http://schemas.openxmlformats.org/officeDocument/2006/relationships/hyperlink" Target="https://www.bkmagazine.com/arts-culture/where-to-find-bangkoks-best-record-stores-and-vinyl-bars/" TargetMode="External"/><Relationship Id="rId53" Type="http://schemas.openxmlformats.org/officeDocument/2006/relationships/hyperlink" Target="https://www.google.com/maps/search/?api=1&amp;query=Tonchabab+Record+Shop+10+Boonsiri+Rd+%28Phra+Nakhon%29+and+Pattanakarn+Rd+branch%2C+Bangkok+Tha&#239;lande" TargetMode="External"/><Relationship Id="rId54" Type="http://schemas.openxmlformats.org/officeDocument/2006/relationships/hyperlink" Target="https://www.bkmagazine.com/arts-culture/where-to-find-bangkoks-best-record-stores-and-vinyl-bars/" TargetMode="External"/><Relationship Id="rId55" Type="http://schemas.openxmlformats.org/officeDocument/2006/relationships/hyperlink" Target="https://www.google.com/maps/search/?api=1&amp;query=Trackaddict+Record+47+MT%26T+Building%2C+Soi+Pridi+Banomyong+3+%28Sukhumvit+69+area%29%2C+Watthana%2C+Bangkok+10110+Tha&#239;lande" TargetMode="External"/><Relationship Id="rId56" Type="http://schemas.openxmlformats.org/officeDocument/2006/relationships/hyperlink" Target="https://timeout.com/bangkok/shopping/trackaddict-record" TargetMode="External"/><Relationship Id="rId57" Type="http://schemas.openxmlformats.org/officeDocument/2006/relationships/hyperlink" Target="https://www.google.com/maps/search/?api=1&amp;query=Vinyl+%26+Toys+19+Pradit+Manutham+Rd+%28near+Bangkok+Resort%29%2C+Lat+Phrao%2C+Bangkok+10230+%28Ramintra%29%3B+second+branch+at+Fortune+Town%2C+Ratchadaphisek+Rd+Tha&#239;lande" TargetMode="External"/><Relationship Id="rId58" Type="http://schemas.openxmlformats.org/officeDocument/2006/relationships/hyperlink" Target="https://www.timeout.com/bangkok/music/vinyl-toys" TargetMode="External"/><Relationship Id="rId59" Type="http://schemas.openxmlformats.org/officeDocument/2006/relationships/hyperlink" Target="https://www.google.com/maps/search/?api=1&amp;query=Vinyl+Die+Hards+162+Srinagarindra+Rd+%28opposite+Paradise+Park%2C+Srinakarin+Soi+44%29%2C+Prawet%2C+Bangkok+Tha&#239;lande" TargetMode="External"/><Relationship Id="rId60" Type="http://schemas.openxmlformats.org/officeDocument/2006/relationships/hyperlink" Target="https://www.timeout.com/bangkok/shopping/vinyl-die-hards" TargetMode="External"/><Relationship Id="rId61" Type="http://schemas.openxmlformats.org/officeDocument/2006/relationships/hyperlink" Target="https://www.google.com/maps/search/?api=1&amp;query=Vinyl+Feeling+Warehouse+30%2C+Charoenkrung+Soi+30%2C+Bang+Rak%2C+Bangkok%3B+corner+in+Another+Story%2C+EmQuartier+4F+Tha&#239;lande" TargetMode="External"/><Relationship Id="rId62" Type="http://schemas.openxmlformats.org/officeDocument/2006/relationships/hyperlink" Target="https://bk.asia-city.com/shopping/article/best-shops-buy-vinyl-records-portable-turntables-bangkok" TargetMode="External"/><Relationship Id="rId63" Type="http://schemas.openxmlformats.org/officeDocument/2006/relationships/hyperlink" Target="https://www.instagram.com/vinyllica_record_fortunetown" TargetMode="External"/><Relationship Id="rId64" Type="http://schemas.openxmlformats.org/officeDocument/2006/relationships/hyperlink" Target="https://www.google.com/maps/search/?api=1&amp;query=Vinyllica+Record+Fortune+Town+Fortune+Town%2C+Ratchadaphisek+Rd%2C+Bangkok+Tha&#239;lande" TargetMode="External"/><Relationship Id="rId65" Type="http://schemas.openxmlformats.org/officeDocument/2006/relationships/hyperlink" Target="https://www.instagram.com/vinyllica_record_fortunetown/" TargetMode="External"/><Relationship Id="rId66" Type="http://schemas.openxmlformats.org/officeDocument/2006/relationships/hyperlink" Target="https://www.google.com/maps/search/?api=1&amp;query=Zubaidah+Records+Between+BTS+Ekkamai+and+BTS+Phra+Khanong%2C+Bangkok+Tha&#239;lande" TargetMode="External"/><Relationship Id="rId67" Type="http://schemas.openxmlformats.org/officeDocument/2006/relationships/hyperlink" Target="https://www.thebangkoknavigator.simongrigg.info/" TargetMode="External"/><Relationship Id="rId68" Type="http://schemas.openxmlformats.org/officeDocument/2006/relationships/hyperlink" Target="https://www.google.com/maps/search/?api=1&amp;query=Zudrangma+Records+7%2F1+Sukhumvit+Soi+51%2C+Khlong+Tan+Nuea%2C+Watthana%2C+Bangkok+Tha&#239;lande" TargetMode="External"/><Relationship Id="rId69" Type="http://schemas.openxmlformats.org/officeDocument/2006/relationships/hyperlink" Target="https://wanderlog.com/place/details/1841365/zudrangma-records" TargetMode="External"/><Relationship Id="rId70" Type="http://schemas.openxmlformats.org/officeDocument/2006/relationships/hyperlink" Target="https://www.google.com/maps/search/?api=1&amp;query=Anglo+Siam+Record+Shop+Loi+Kroh+Rd%2C+Chiang+Mai+Tha&#239;lande" TargetMode="External"/><Relationship Id="rId71" Type="http://schemas.openxmlformats.org/officeDocument/2006/relationships/hyperlink" Target="https://www.timeout.com/chiang-mai/things-to-do/dig-into-rare-grooves-at-the-anglo-siam-record-shop-opening" TargetMode="External"/><Relationship Id="rId72" Type="http://schemas.openxmlformats.org/officeDocument/2006/relationships/hyperlink" Target="https://www.google.com/maps/search/?api=1&amp;query=Deaf+Shop+Old+town%2C+Chiang+Mai+%28near+Nuii+Bar%2C+Pra+Pok+Klao+Rd+Soi+1%29+Tha&#239;lande" TargetMode="External"/><Relationship Id="rId73" Type="http://schemas.openxmlformats.org/officeDocument/2006/relationships/hyperlink" Target="https://mixmag.asia/read/chiang-mai-first-vinyl-listening-bar-deaf-shop-local" TargetMode="External"/><Relationship Id="rId74" Type="http://schemas.openxmlformats.org/officeDocument/2006/relationships/hyperlink" Target="https://www.google.com/maps/search/?api=1&amp;query=Franc+Haus+Upstairs+at+Potto+diner%2C+Nimman%2C+Chiang+Mai+Tha&#239;lande" TargetMode="External"/><Relationship Id="rId75" Type="http://schemas.openxmlformats.org/officeDocument/2006/relationships/hyperlink" Target="https://www.timeout.com/chiang-mai/music/chiang-mais-top-11-places-to-dig-for-vinyl" TargetMode="External"/><Relationship Id="rId76" Type="http://schemas.openxmlformats.org/officeDocument/2006/relationships/hyperlink" Target="https://www.google.com/maps/search/?api=1&amp;query=HiFi.Day+at+Back2nd.CNX+Basement+under+Think+Park%2C+Nimman%2C+Chiang+Mai+Tha&#239;lande" TargetMode="External"/><Relationship Id="rId77" Type="http://schemas.openxmlformats.org/officeDocument/2006/relationships/hyperlink" Target="https://www.timeout.com/chiang-mai/music/chiang-mais-top-11-places-to-dig-for-vinyl" TargetMode="External"/><Relationship Id="rId78" Type="http://schemas.openxmlformats.org/officeDocument/2006/relationships/hyperlink" Target="https://www.google.com/maps/search/?api=1&amp;query=Noomtaofire+Record+62%2F6+Charoen+Prathet+Rd%2C+Chang+Khlan%2C+Mueang+Chiang+Mai%2C+Chiang+Mai+50100+%28upstairs+of+Lonewanderer+clothing+store%29+Tha&#239;lande" TargetMode="External"/><Relationship Id="rId79" Type="http://schemas.openxmlformats.org/officeDocument/2006/relationships/hyperlink" Target="https://www.timeout.com/chiang-mai/music/noomtaofire-record" TargetMode="External"/><Relationship Id="rId80" Type="http://schemas.openxmlformats.org/officeDocument/2006/relationships/hyperlink" Target="https://www.google.com/maps/search/?api=1&amp;query=Thirty+Records+40+Sanambin+Kao+4+Alley%2C+Suthep%2C+Mueang+Chiang+Mai%2C+Chiang+Mai+50200+Tha&#239;lande" TargetMode="External"/><Relationship Id="rId81" Type="http://schemas.openxmlformats.org/officeDocument/2006/relationships/hyperlink" Target="https://www.timeout.com/chiang-mai/music/thirty-records" TargetMode="External"/><Relationship Id="rId82" Type="http://schemas.openxmlformats.org/officeDocument/2006/relationships/hyperlink" Target="https://www.google.com/maps/search/?api=1&amp;query=Wua+Lai+Record+Shop+1%2C+6+Wua+Lai+Rd%2C+Haiya%2C+Mueang+Chiang+Mai%2C+Chiang+Mai+50100+Tha&#239;lande" TargetMode="External"/><Relationship Id="rId83" Type="http://schemas.openxmlformats.org/officeDocument/2006/relationships/hyperlink" Target="https://www.timeout.com/chiang-mai/music/wua-lai-record-shop" TargetMode="External"/><Relationship Id="rId84" Type="http://schemas.openxmlformats.org/officeDocument/2006/relationships/hyperlink" Target="https://www.instagram.com/sabaivinyl" TargetMode="External"/><Relationship Id="rId85" Type="http://schemas.openxmlformats.org/officeDocument/2006/relationships/hyperlink" Target="https://www.google.com/maps/search/?api=1&amp;query=Sabai+Vinyl+Pattaya+2nd+floor%2C+MS2021+%28near+Eiffel+Tower+and+robot+statue%29%2C+Pattaya+Tha&#239;lande" TargetMode="External"/><Relationship Id="rId86" Type="http://schemas.openxmlformats.org/officeDocument/2006/relationships/hyperlink" Target="https://www.instagram.com/sabaivinyl/" TargetMode="External"/><Relationship Id="rId87" Type="http://schemas.openxmlformats.org/officeDocument/2006/relationships/hyperlink" Target="https://anhduyaudio.com/" TargetMode="External"/><Relationship Id="rId88" Type="http://schemas.openxmlformats.org/officeDocument/2006/relationships/hyperlink" Target="https://www.google.com/maps/search/?api=1&amp;query=AnhDuy+Audio+72+Tr&#7847;n+Nh&#226;n+T&#244;ng%2C+Hai+B&#224;+Tr&#432;ng%2C+H&#224;+N&#7897;i+Vietnam" TargetMode="External"/><Relationship Id="rId89" Type="http://schemas.openxmlformats.org/officeDocument/2006/relationships/hyperlink" Target="https://mytour.vn/vi/blog/bai-viet/danh-sach-5-dia-chi-mua-dia-than-chat-luong-va-gia-ca-phai-chang-tai-ha-noi.html" TargetMode="External"/><Relationship Id="rId90" Type="http://schemas.openxmlformats.org/officeDocument/2006/relationships/hyperlink" Target="https://giangnhacxua.com/" TargetMode="External"/><Relationship Id="rId91" Type="http://schemas.openxmlformats.org/officeDocument/2006/relationships/hyperlink" Target="https://www.google.com/maps/search/?api=1&amp;query=Giang+Nh&#7841;c+X&#432;a+33+Tr&#7883;nh+C&#244;ng+S&#417;n%2C+Nh&#7853;t+T&#226;n%2C+T&#226;y+H&#7891;%2C+H&#224;+N&#7897;i+Vietnam" TargetMode="External"/><Relationship Id="rId92" Type="http://schemas.openxmlformats.org/officeDocument/2006/relationships/hyperlink" Target="https://theculturetrip.com/asia/vietnam/articles/best-record-stores-in-hanoi" TargetMode="External"/><Relationship Id="rId93" Type="http://schemas.openxmlformats.org/officeDocument/2006/relationships/hyperlink" Target="https://hoanggiaaudio.vn/" TargetMode="External"/><Relationship Id="rId94" Type="http://schemas.openxmlformats.org/officeDocument/2006/relationships/hyperlink" Target="https://www.google.com/maps/search/?api=1&amp;query=Ho&#224;ng+Gia+Audio+Hanoi+Vietnam" TargetMode="External"/><Relationship Id="rId95" Type="http://schemas.openxmlformats.org/officeDocument/2006/relationships/hyperlink" Target="https://hoanggiaaudio.vn/news/dia-chi-ban-dia-than-chinh-hang-o-ha-noi-a332.html" TargetMode="External"/><Relationship Id="rId96" Type="http://schemas.openxmlformats.org/officeDocument/2006/relationships/hyperlink" Target="https://www.google.com/maps/search/?api=1&amp;query=H&#224;+N&#7897;i+&#272;&#297;a+Than+%28Hanoi+Vinyl+Records%29+Hanoi+Vietnam" TargetMode="External"/><Relationship Id="rId97" Type="http://schemas.openxmlformats.org/officeDocument/2006/relationships/hyperlink" Target="https://vietcetera.com/en/reintroducing-the-vinyl-culture-to-vietnams-new-generation" TargetMode="External"/><Relationship Id="rId98" Type="http://schemas.openxmlformats.org/officeDocument/2006/relationships/hyperlink" Target="https://lpclub.vn/" TargetMode="External"/><Relationship Id="rId99" Type="http://schemas.openxmlformats.org/officeDocument/2006/relationships/hyperlink" Target="https://www.instagram.com/lpclubhn" TargetMode="External"/><Relationship Id="rId100" Type="http://schemas.openxmlformats.org/officeDocument/2006/relationships/hyperlink" Target="https://www.google.com/maps/search/?api=1&amp;query=LP+Club+174+Kim+M&#227;%2C+Kim+M&#227;+ward%2C+Ba+&#272;&#236;nh%2C+H&#224;+N&#7897;i+Vietnam" TargetMode="External"/><Relationship Id="rId101" Type="http://schemas.openxmlformats.org/officeDocument/2006/relationships/hyperlink" Target="https://silverkris.singaporeair.com/guide/vietnam/han/shop-hanoi/lp-club/" TargetMode="External"/><Relationship Id="rId102" Type="http://schemas.openxmlformats.org/officeDocument/2006/relationships/hyperlink" Target="https://www.facebook.com/ruavinyl" TargetMode="External"/><Relationship Id="rId103" Type="http://schemas.openxmlformats.org/officeDocument/2006/relationships/hyperlink" Target="https://www.facebook.com/ruavinyl/" TargetMode="External"/><Relationship Id="rId104" Type="http://schemas.openxmlformats.org/officeDocument/2006/relationships/hyperlink" Target="https://www.facebook.com/p/TH&#7842;O-NH&#7840;C-X&#431;A-100063630708271" TargetMode="External"/><Relationship Id="rId105" Type="http://schemas.openxmlformats.org/officeDocument/2006/relationships/hyperlink" Target="https://www.google.com/maps/search/?api=1&amp;query=Th&#7843;o+Nh&#7841;c+X&#432;a+58+X&#227;+&#272;&#224;n%2C+&#272;&#7889;ng+&#272;a%2C+H&#224;+N&#7897;i+Vietnam" TargetMode="External"/><Relationship Id="rId106" Type="http://schemas.openxmlformats.org/officeDocument/2006/relationships/hyperlink" Target="https://www.facebook.com/p/TH&#7842;O-NH&#7840;C-X&#431;A-100063630708271/" TargetMode="External"/><Relationship Id="rId107" Type="http://schemas.openxmlformats.org/officeDocument/2006/relationships/hyperlink" Target="https://www.instagram.com/totem.vinyl" TargetMode="External"/><Relationship Id="rId108" Type="http://schemas.openxmlformats.org/officeDocument/2006/relationships/hyperlink" Target="https://www.facebook.com/totem.vinyl" TargetMode="External"/><Relationship Id="rId109" Type="http://schemas.openxmlformats.org/officeDocument/2006/relationships/hyperlink" Target="https://www.google.com/maps/search/?api=1&amp;query=Totem+Vinyl+-+Ti&#7879;m+&#272;&#297;a+Than+2G+Ho&#224;ng+Hoa+Th&#225;m%2C+Th&#7909;y+Khu&#234;%2C+T&#226;y+H&#7891;%2C+H&#224;+N&#7897;i+Vietnam" TargetMode="External"/><Relationship Id="rId110" Type="http://schemas.openxmlformats.org/officeDocument/2006/relationships/hyperlink" Target="https://www.facebook.com/totem.vinyl/" TargetMode="External"/><Relationship Id="rId111" Type="http://schemas.openxmlformats.org/officeDocument/2006/relationships/hyperlink" Target="https://www.google.com/maps/search/?api=1&amp;query=Vinyl4u+Hanoi+Vietnam" TargetMode="External"/><Relationship Id="rId112" Type="http://schemas.openxmlformats.org/officeDocument/2006/relationships/hyperlink" Target="https://theculturetrip.com/asia/vietnam/articles/best-record-stores-in-hanoi" TargetMode="External"/><Relationship Id="rId113" Type="http://schemas.openxmlformats.org/officeDocument/2006/relationships/hyperlink" Target="https://thienhaaudio.vn/" TargetMode="External"/><Relationship Id="rId114" Type="http://schemas.openxmlformats.org/officeDocument/2006/relationships/hyperlink" Target="https://www.google.com/maps/search/?api=1&amp;query=V&#7885;c+Records+%28VOC+Records%29+S&#7889;+5%2C+ng&#245;+198+Th&#225;i+H&#224;%2C+&#272;&#7889;ng+&#272;a%2C+H&#224;+N&#7897;i+Vietnam" TargetMode="External"/><Relationship Id="rId115" Type="http://schemas.openxmlformats.org/officeDocument/2006/relationships/hyperlink" Target="https://vietcetera.com/en/reintroducing-the-vinyl-culture-to-vietnams-new-generation" TargetMode="External"/><Relationship Id="rId116" Type="http://schemas.openxmlformats.org/officeDocument/2006/relationships/hyperlink" Target="https://dientulinhanh.com/" TargetMode="External"/><Relationship Id="rId117" Type="http://schemas.openxmlformats.org/officeDocument/2006/relationships/hyperlink" Target="https://www.google.com/maps/search/?api=1&amp;query=&#272;i&#7879;n+t&#7917;+Linh+Anh+99+H&#7891;+Ba+M&#7851;u+%28&#212;+&#272;&#7891;ng+L&#7847;m%29%2C+&#272;&#7889;ng+&#272;a%2C+H&#224;+N&#7897;i%3B+117+Ph&#7841;m+V&#259;n+&#272;&#7891;ng%2C+Mai+D&#7883;ch%2C+C&#7847;u+Gi&#7845;y%2C+H&#224;+N&#7897;i%3B+HCMC+branches%3A+559+Phan+V&#259;n+Tr&#7883;%2C+129+B&#236;nh+Th&#7899;i%2C+151+Nguy&#7877;n+Duy+D&#432;&#417;ng+Vietna" TargetMode="External"/><Relationship Id="rId118" Type="http://schemas.openxmlformats.org/officeDocument/2006/relationships/hyperlink" Target="https://dientulinhanh.com/dia-chi-mua-ban-dia-than-gia-re-chinh-hang-tai-ha-noi" TargetMode="External"/><Relationship Id="rId119" Type="http://schemas.openxmlformats.org/officeDocument/2006/relationships/hyperlink" Target="https://www.facebook.com/diathanhanoi" TargetMode="External"/><Relationship Id="rId120" Type="http://schemas.openxmlformats.org/officeDocument/2006/relationships/hyperlink" Target="https://www.google.com/maps/search/?api=1&amp;query=&#272;&#297;a+Than+-+Haytch+Vintage+Sound+Hanoi+Vietnam" TargetMode="External"/><Relationship Id="rId121" Type="http://schemas.openxmlformats.org/officeDocument/2006/relationships/hyperlink" Target="https://www.facebook.com/diathanhanoi/" TargetMode="External"/><Relationship Id="rId122" Type="http://schemas.openxmlformats.org/officeDocument/2006/relationships/hyperlink" Target="https://www.instagram.com/diathan.vintage" TargetMode="External"/><Relationship Id="rId123" Type="http://schemas.openxmlformats.org/officeDocument/2006/relationships/hyperlink" Target="https://www.facebook.com/diathanvintage" TargetMode="External"/><Relationship Id="rId124" Type="http://schemas.openxmlformats.org/officeDocument/2006/relationships/hyperlink" Target="https://www.google.com/maps/search/?api=1&amp;query=&#272;&#297;a+Than+Vintage+%28Hanoi+Vintage+Vinyl+Shop%29+147+Y&#234;n+Ph&#7909;%2C+T&#226;y+H&#7891;%2C+H&#224;+N&#7897;i+Vietnam" TargetMode="External"/><Relationship Id="rId125" Type="http://schemas.openxmlformats.org/officeDocument/2006/relationships/hyperlink" Target="https://www.facebook.com/diathanvintage/" TargetMode="External"/><Relationship Id="rId126" Type="http://schemas.openxmlformats.org/officeDocument/2006/relationships/hyperlink" Target="https://analogaudio.vn/" TargetMode="External"/><Relationship Id="rId127" Type="http://schemas.openxmlformats.org/officeDocument/2006/relationships/hyperlink" Target="https://www.google.com/maps/search/?api=1&amp;query=Analog+Audio+351%2F12A+L&#234;+V&#259;n+S&#7929;%2C+Ph&#432;&#7901;ng+13%2C+Qu&#7853;n+3%2C+TP.HCM+Vietnam" TargetMode="External"/><Relationship Id="rId128" Type="http://schemas.openxmlformats.org/officeDocument/2006/relationships/hyperlink" Target="https://hivelife.com/vinyl-stores-vietnam/" TargetMode="External"/><Relationship Id="rId129" Type="http://schemas.openxmlformats.org/officeDocument/2006/relationships/hyperlink" Target="https://vietnamnews.vn/life-style/518863/vinyl-records-make-a-comeback-with-new-albums.html" TargetMode="External"/><Relationship Id="rId130" Type="http://schemas.openxmlformats.org/officeDocument/2006/relationships/hyperlink" Target="https://www.google.com/maps/search/?api=1&amp;query=Bluish+Records+158%2F10+Nguy&#7877;n+C&#244;ng+Tr&#7913;%2C+Qu&#7853;n+1%2C+TP.HCM+%28Biker+Shield+Bistro%3B+from+a+2024+event+listing%29+Vietnam" TargetMode="External"/><Relationship Id="rId131" Type="http://schemas.openxmlformats.org/officeDocument/2006/relationships/hyperlink" Target="https://saigoneer.com/saigon-events/27157-vinyl-record-day-bluish-records" TargetMode="External"/><Relationship Id="rId132" Type="http://schemas.openxmlformats.org/officeDocument/2006/relationships/hyperlink" Target="https://www.google.com/maps/search/?api=1&amp;query=CD+&#8211;+B&#7843;n+ghi+%28Vinyl%29+Tr&#432;&#7901;ng+Chinh+180+Tr&#432;&#7901;ng+Chinh%2C+T&#226;n+B&#236;nh%2C+TP.HCM+Vietnam" TargetMode="External"/><Relationship Id="rId133" Type="http://schemas.openxmlformats.org/officeDocument/2006/relationships/hyperlink" Target="https://www.hcmtoplist.com/top-20-dia-chi-ban-dia-cd-goc-tai-tphcm-gia-re-va-chat-luong" TargetMode="External"/><Relationship Id="rId134" Type="http://schemas.openxmlformats.org/officeDocument/2006/relationships/hyperlink" Target="https://www.google.com/maps/search/?api=1&amp;query=C&#243;+G&#236;+B&#225;n+&#272;&#243;+S&#224;i+G&#242;n+48+Tr&#7847;n+Quang+Di&#7879;u%2C+Ph&#432;&#7901;ng+14%2C+Qu&#7853;n+3%2C+TP.HCM+Vietnam" TargetMode="External"/><Relationship Id="rId135" Type="http://schemas.openxmlformats.org/officeDocument/2006/relationships/hyperlink" Target="https://www.hcmtoplist.com/top-5-dia-chi-ban-dia-than-o-sai-gon-uy-tin-chat-luong" TargetMode="External"/><Relationship Id="rId136" Type="http://schemas.openxmlformats.org/officeDocument/2006/relationships/hyperlink" Target="https://www.facebook.com/cuahangbandiathanlpvinyl" TargetMode="External"/><Relationship Id="rId137" Type="http://schemas.openxmlformats.org/officeDocument/2006/relationships/hyperlink" Target="https://www.google.com/maps/search/?api=1&amp;query=C&#7917;a+H&#224;ng+&#272;&#297;a+Than+LP+Vinyl+313%2F56+T&#7881;nh+l&#7897;+10%2C+An+L&#7841;c+A%2C+B&#236;nh+T&#226;n%2C+TP.HCM+Vietnam" TargetMode="External"/><Relationship Id="rId138" Type="http://schemas.openxmlformats.org/officeDocument/2006/relationships/hyperlink" Target="https://www.facebook.com/cuahangbandiathanlpvinyl/" TargetMode="External"/><Relationship Id="rId139" Type="http://schemas.openxmlformats.org/officeDocument/2006/relationships/hyperlink" Target="https://www.google.com/maps/search/?api=1&amp;query=Damn+Shop+Ho+Chi+Minh+City+Vietnam" TargetMode="External"/><Relationship Id="rId140" Type="http://schemas.openxmlformats.org/officeDocument/2006/relationships/hyperlink" Target="https://www.travelweekly.com.au/article/vietnamese-vinyl-vendors-that-any-music-aficionado-needs-to-visit/" TargetMode="External"/><Relationship Id="rId141" Type="http://schemas.openxmlformats.org/officeDocument/2006/relationships/hyperlink" Target="https://store.hangdiathoidai.com/" TargetMode="External"/><Relationship Id="rId142" Type="http://schemas.openxmlformats.org/officeDocument/2006/relationships/hyperlink" Target="https://www.facebook.com/hangdiathoidai" TargetMode="External"/><Relationship Id="rId143" Type="http://schemas.openxmlformats.org/officeDocument/2006/relationships/hyperlink" Target="https://www.google.com/maps/search/?api=1&amp;query=H&#227;ng+&#272;&#297;a+Th&#7901;i+&#272;&#7841;i+%28Times+Records%29+6+Nguy&#7877;n+V&#259;n+Nguy&#7877;n%2C+T&#226;n+&#272;&#7883;nh%2C+Qu&#7853;n+1%2C+TP.HCM+Vietnam" TargetMode="External"/><Relationship Id="rId144" Type="http://schemas.openxmlformats.org/officeDocument/2006/relationships/hyperlink" Target="https://hivelife.com/vinyl-stores-vietnam/" TargetMode="External"/><Relationship Id="rId145" Type="http://schemas.openxmlformats.org/officeDocument/2006/relationships/hyperlink" Target="https://www.google.com/maps/search/?api=1&amp;query=Nh&#7853;t+Duy+%28b&#259;ng+&#273;&#297;a+g&#7889;c%29+18%2F75%2F1+Tr&#7847;n+Quang+Di&#7879;u%2C+Qu&#7853;n+3%2C+TP.HCM+Vietnam" TargetMode="External"/><Relationship Id="rId146" Type="http://schemas.openxmlformats.org/officeDocument/2006/relationships/hyperlink" Target="https://www.hcmtoplist.com/top-5-dia-chi-ban-dia-than-o-sai-gon-uy-tin-chat-luong" TargetMode="External"/><Relationship Id="rId147" Type="http://schemas.openxmlformats.org/officeDocument/2006/relationships/hyperlink" Target="https://saigonvinylrecords.com/" TargetMode="External"/><Relationship Id="rId148" Type="http://schemas.openxmlformats.org/officeDocument/2006/relationships/hyperlink" Target="https://www.instagram.com/saigon_vinyl_records" TargetMode="External"/><Relationship Id="rId149" Type="http://schemas.openxmlformats.org/officeDocument/2006/relationships/hyperlink" Target="https://www.facebook.com/saigonvinylrecords" TargetMode="External"/><Relationship Id="rId150" Type="http://schemas.openxmlformats.org/officeDocument/2006/relationships/hyperlink" Target="https://hivelife.com/vinyl-stores-vietnam/" TargetMode="External"/><Relationship Id="rId151" Type="http://schemas.openxmlformats.org/officeDocument/2006/relationships/hyperlink" Target="https://saigoneer.com/saigon-events/27157-vinyl-record-day-bluish-records" TargetMode="External"/><Relationship Id="rId152" Type="http://schemas.openxmlformats.org/officeDocument/2006/relationships/hyperlink" Target="https://www.facebook.com/cafesaigondiathan" TargetMode="External"/><Relationship Id="rId153" Type="http://schemas.openxmlformats.org/officeDocument/2006/relationships/hyperlink" Target="https://www.google.com/maps/search/?api=1&amp;query=Ti&#7879;m+S&#224;i+G&#242;n+&#272;&#297;a+Than+226B+Nguy&#7877;n+V&#259;n+&#272;&#7853;u%2C+Ph&#432;&#7901;ng+11%2C+B&#236;nh+Th&#7841;nh%2C+TP.HCM+Vietnam" TargetMode="External"/><Relationship Id="rId154" Type="http://schemas.openxmlformats.org/officeDocument/2006/relationships/hyperlink" Target="https://www.facebook.com/cafesaigondiathan/" TargetMode="External"/><Relationship Id="rId155" Type="http://schemas.openxmlformats.org/officeDocument/2006/relationships/hyperlink" Target="https://vinagroove.com/" TargetMode="External"/><Relationship Id="rId156" Type="http://schemas.openxmlformats.org/officeDocument/2006/relationships/hyperlink" Target="https://www.instagram.com/vinagroove.records" TargetMode="External"/><Relationship Id="rId157" Type="http://schemas.openxmlformats.org/officeDocument/2006/relationships/hyperlink" Target="https://www.facebook.com/vinagroove.records" TargetMode="External"/><Relationship Id="rId158" Type="http://schemas.openxmlformats.org/officeDocument/2006/relationships/hyperlink" Target="https://www.google.com/maps/search/?api=1&amp;query=Vina+Groove+Pasteur+Street%2C+Qu&#7853;n+1%2C+TP.HCM+%28shares+space+with+Ronin+Izakaya%29+Vietnam" TargetMode="External"/><Relationship Id="rId159" Type="http://schemas.openxmlformats.org/officeDocument/2006/relationships/hyperlink" Target="https://www.facebook.com/vinagroove.records/" TargetMode="External"/><Relationship Id="rId160" Type="http://schemas.openxmlformats.org/officeDocument/2006/relationships/hyperlink" Target="https://vinylsaigon.vn/" TargetMode="External"/><Relationship Id="rId161" Type="http://schemas.openxmlformats.org/officeDocument/2006/relationships/hyperlink" Target="https://www.instagram.com/vinylsaigon" TargetMode="External"/><Relationship Id="rId162" Type="http://schemas.openxmlformats.org/officeDocument/2006/relationships/hyperlink" Target="https://www.facebook.com/VinylSaiGon" TargetMode="External"/><Relationship Id="rId163" Type="http://schemas.openxmlformats.org/officeDocument/2006/relationships/hyperlink" Target="https://www.google.com/maps/search/?api=1&amp;query=Vinyl+S&#224;i+G&#242;n+6B+&#272;inh+B&#7897;+L&#297;nh%2C+B&#236;nh+Th&#7841;nh%2C+TP.HCM+Vietnam" TargetMode="External"/><Relationship Id="rId164" Type="http://schemas.openxmlformats.org/officeDocument/2006/relationships/hyperlink" Target="https://www.facebook.com/VinylSaiGon/" TargetMode="External"/><Relationship Id="rId165" Type="http://schemas.openxmlformats.org/officeDocument/2006/relationships/hyperlink" Target="https://vinyl.vn/" TargetMode="External"/><Relationship Id="rId166" Type="http://schemas.openxmlformats.org/officeDocument/2006/relationships/hyperlink" Target="https://www.instagram.com/vinylviet" TargetMode="External"/><Relationship Id="rId167" Type="http://schemas.openxmlformats.org/officeDocument/2006/relationships/hyperlink" Target="https://www.facebook.com/vinylviet" TargetMode="External"/><Relationship Id="rId168" Type="http://schemas.openxmlformats.org/officeDocument/2006/relationships/hyperlink" Target="https://www.google.com/maps/search/?api=1&amp;query=Vinyl+Vi&#7879;t+112+B&#7855;c+H&#7843;i%2C+Ph&#432;&#7901;ng+6%2C+T&#226;n+B&#236;nh%2C+TP.HCM+Vietnam" TargetMode="External"/><Relationship Id="rId169" Type="http://schemas.openxmlformats.org/officeDocument/2006/relationships/hyperlink" Target="https://www.facebook.com/vinylviet/" TargetMode="External"/><Relationship Id="rId170" Type="http://schemas.openxmlformats.org/officeDocument/2006/relationships/hyperlink" Target="https://www.google.com/maps/search/?api=1&amp;query=V&#361;+D&#432;&#417;ng+%28CD+-+VCD+-+&#273;&#297;a+than%29+186+F-E-D+Phan+V&#259;n+Tr&#7883;%2C+B&#236;nh+Th&#7841;nh%2C+TP.HCM+Vietnam" TargetMode="External"/><Relationship Id="rId171" Type="http://schemas.openxmlformats.org/officeDocument/2006/relationships/hyperlink" Target="https://www.hcmtoplist.com/top-20-dia-chi-ban-dia-cd-goc-tai-tphcm-gia-re-va-chat-luong" TargetMode="External"/><Relationship Id="rId172" Type="http://schemas.openxmlformats.org/officeDocument/2006/relationships/hyperlink" Target="https://vinylrecord51.com/" TargetMode="External"/><Relationship Id="rId173" Type="http://schemas.openxmlformats.org/officeDocument/2006/relationships/hyperlink" Target="https://www.facebook.com/DiaThan51SaiGon" TargetMode="External"/><Relationship Id="rId174" Type="http://schemas.openxmlformats.org/officeDocument/2006/relationships/hyperlink" Target="https://www.google.com/maps/search/?api=1&amp;query=&#272;&#297;a+Than+51+S&#224;i+G&#242;n+148+Nguy&#7877;n+H&#7853;u%2C+T&#226;n+Ph&#250;%2C+TP.HCM+Vietnam" TargetMode="External"/><Relationship Id="rId175" Type="http://schemas.openxmlformats.org/officeDocument/2006/relationships/hyperlink" Target="https://www.facebook.com/DiaThan51SaiGon/" TargetMode="External"/><Relationship Id="rId176" Type="http://schemas.openxmlformats.org/officeDocument/2006/relationships/hyperlink" Target="https://diathanmuaoday.com/" TargetMode="External"/><Relationship Id="rId177" Type="http://schemas.openxmlformats.org/officeDocument/2006/relationships/hyperlink" Target="https://www.google.com/maps/search/?api=1&amp;query=&#272;&#297;a+Than+Mua+&#7902;+&#272;&#226;y+148+Nguy&#7877;n+H&#7853;u%2C+T&#226;n+Ph&#250;%2C+TP.HCM+Vietnam" TargetMode="External"/><Relationship Id="rId178" Type="http://schemas.openxmlformats.org/officeDocument/2006/relationships/hyperlink" Target="https://www.hcmtoplist.com/top-5-dia-chi-ban-dia-than-o-sai-gon-uy-tin-chat-luong" TargetMode="External"/><Relationship Id="rId179" Type="http://schemas.openxmlformats.org/officeDocument/2006/relationships/hyperlink" Target="https://audio.vn/product-category/danh-muc-san-pham/dia-than" TargetMode="External"/><Relationship Id="rId180" Type="http://schemas.openxmlformats.org/officeDocument/2006/relationships/hyperlink" Target="https://audio.vn/product-category/danh-muc-san-pham/dia-than" TargetMode="External"/><Relationship Id="rId181" Type="http://schemas.openxmlformats.org/officeDocument/2006/relationships/hyperlink" Target="https://www.discogs.com/seller/manilarecordclub/profile?format=Vinyl" TargetMode="External"/><Relationship Id="rId182" Type="http://schemas.openxmlformats.org/officeDocument/2006/relationships/hyperlink" Target="https://www.instagram.com/plakadaph" TargetMode="External"/><Relationship Id="rId183" Type="http://schemas.openxmlformats.org/officeDocument/2006/relationships/hyperlink" Target="https://www.instagram.com/plakadaph/" TargetMode="External"/><Relationship Id="rId184" Type="http://schemas.openxmlformats.org/officeDocument/2006/relationships/hyperlink" Target="https://www.discogs.com/seller/vivalahvinyls/profile" TargetMode="External"/><Relationship Id="rId185" Type="http://schemas.openxmlformats.org/officeDocument/2006/relationships/hyperlink" Target="https://www.instagram.com/sunnydayrecords" TargetMode="External"/><Relationship Id="rId186" Type="http://schemas.openxmlformats.org/officeDocument/2006/relationships/hyperlink" Target="https://www.google.com/maps/search/?api=1&amp;query=Sunny+Day+Records+Bacolod+Philippines" TargetMode="External"/><Relationship Id="rId187" Type="http://schemas.openxmlformats.org/officeDocument/2006/relationships/hyperlink" Target="https://www.instagram.com/sunnydayrecords/" TargetMode="External"/><Relationship Id="rId188" Type="http://schemas.openxmlformats.org/officeDocument/2006/relationships/hyperlink" Target="https://www.instagram.com/hellofrankierecords" TargetMode="External"/><Relationship Id="rId189" Type="http://schemas.openxmlformats.org/officeDocument/2006/relationships/hyperlink" Target="https://www.google.com/maps/search/?api=1&amp;query=Frankie+Records+Goshenland+Towers%2C+Upper+Gen.+Luna+Rd.%2C+Baguio+City+Philippines" TargetMode="External"/><Relationship Id="rId190" Type="http://schemas.openxmlformats.org/officeDocument/2006/relationships/hyperlink" Target="https://www.instagram.com/hellofrankierecords/" TargetMode="External"/><Relationship Id="rId191" Type="http://schemas.openxmlformats.org/officeDocument/2006/relationships/hyperlink" Target="https://www.google.com/maps/search/?api=1&amp;query=Plakaf&#233;+Baguio+Philippines" TargetMode="External"/><Relationship Id="rId192" Type="http://schemas.openxmlformats.org/officeDocument/2006/relationships/hyperlink" Target="https://wanderlog.com/place/details/1483770/plakaf&#233;" TargetMode="External"/><Relationship Id="rId193" Type="http://schemas.openxmlformats.org/officeDocument/2006/relationships/hyperlink" Target="https://www.facebook.com/TheVinylCity" TargetMode="External"/><Relationship Id="rId194" Type="http://schemas.openxmlformats.org/officeDocument/2006/relationships/hyperlink" Target="https://www.facebook.com/TheVinylCity/" TargetMode="External"/><Relationship Id="rId195" Type="http://schemas.openxmlformats.org/officeDocument/2006/relationships/hyperlink" Target="https://www.google.com/maps/search/?api=1&amp;query=Megadisc+Play+Cagayan+de+Oro+Philippines" TargetMode="External"/><Relationship Id="rId196" Type="http://schemas.openxmlformats.org/officeDocument/2006/relationships/hyperlink" Target="https://www.facebook.com/TheVinylCity/" TargetMode="External"/><Relationship Id="rId197" Type="http://schemas.openxmlformats.org/officeDocument/2006/relationships/hyperlink" Target="https://www.facebook.com/littleritualscebu" TargetMode="External"/><Relationship Id="rId198" Type="http://schemas.openxmlformats.org/officeDocument/2006/relationships/hyperlink" Target="https://www.google.com/maps/search/?api=1&amp;query=Little+Rituals+Records+Cebu+2F+The+Maze%2C+Ayala+Center+Cebu%2C+Cebu+City+Philippines" TargetMode="External"/><Relationship Id="rId199" Type="http://schemas.openxmlformats.org/officeDocument/2006/relationships/hyperlink" Target="https://nivessa.com/record-stores/philippines/central-visayas/cebu-city" TargetMode="External"/><Relationship Id="rId200" Type="http://schemas.openxmlformats.org/officeDocument/2006/relationships/hyperlink" Target="https://www.facebook.com/meltrecordsph" TargetMode="External"/><Relationship Id="rId201" Type="http://schemas.openxmlformats.org/officeDocument/2006/relationships/hyperlink" Target="https://www.facebook.com/meltrecordsph/" TargetMode="External"/><Relationship Id="rId202" Type="http://schemas.openxmlformats.org/officeDocument/2006/relationships/hyperlink" Target="https://www.instagram.com/pavementrecordscebu" TargetMode="External"/><Relationship Id="rId203" Type="http://schemas.openxmlformats.org/officeDocument/2006/relationships/hyperlink" Target="https://www.facebook.com/PavementRecordsCebu" TargetMode="External"/><Relationship Id="rId204" Type="http://schemas.openxmlformats.org/officeDocument/2006/relationships/hyperlink" Target="https://www.google.com/maps/search/?api=1&amp;query=Pavement+Records+Cebu+2F+J-Block+Building%2C+Apitong+St.%2C+Cebu+City+%28landmark%3A+Red+House+Taiwan%29+Philippines" TargetMode="External"/><Relationship Id="rId205" Type="http://schemas.openxmlformats.org/officeDocument/2006/relationships/hyperlink" Target="https://www.instagram.com/pavementrecordscebu/" TargetMode="External"/><Relationship Id="rId206" Type="http://schemas.openxmlformats.org/officeDocument/2006/relationships/hyperlink" Target="https://www.google.com/maps/search/?api=1&amp;query=Quiet+Revolutions+The+Gallery%2C+Kasambagan%2C+Cebu+City+Philippines" TargetMode="External"/><Relationship Id="rId207" Type="http://schemas.openxmlformats.org/officeDocument/2006/relationships/hyperlink" Target="https://www.tiktok.com/discover/vinyl-cafe-cebu-menu" TargetMode="External"/><Relationship Id="rId208" Type="http://schemas.openxmlformats.org/officeDocument/2006/relationships/hyperlink" Target="https://www.google.com/maps/search/?api=1&amp;query=Unity+Coffee+%26+Vinyl+Don+Jose+Avila+St.%2C+near+CDUH%2C+Cebu+City+Philippines" TargetMode="External"/><Relationship Id="rId209" Type="http://schemas.openxmlformats.org/officeDocument/2006/relationships/hyperlink" Target="https://www.tiktok.com/discover/vinyl-cafe-cebu-menu" TargetMode="External"/><Relationship Id="rId210" Type="http://schemas.openxmlformats.org/officeDocument/2006/relationships/hyperlink" Target="https://www.facebook.com/DabawenyoVinyl" TargetMode="External"/><Relationship Id="rId211" Type="http://schemas.openxmlformats.org/officeDocument/2006/relationships/hyperlink" Target="https://www.facebook.com/DabawenyoVinyl/" TargetMode="External"/><Relationship Id="rId212" Type="http://schemas.openxmlformats.org/officeDocument/2006/relationships/hyperlink" Target="https://www.facebook.com/taurusrecordstore" TargetMode="External"/><Relationship Id="rId213" Type="http://schemas.openxmlformats.org/officeDocument/2006/relationships/hyperlink" Target="https://www.google.com/maps/search/?api=1&amp;query=Taurus+Records+and+Vintage+Collectibles+12+Taurus+St.%2C+GSIS+Heights%2C+Matina%2C+Davao+City+Philippines" TargetMode="External"/><Relationship Id="rId214" Type="http://schemas.openxmlformats.org/officeDocument/2006/relationships/hyperlink" Target="https://www.facebook.com/taurusrecordstore/" TargetMode="External"/><Relationship Id="rId215" Type="http://schemas.openxmlformats.org/officeDocument/2006/relationships/hyperlink" Target="https://anthology-vinyl.com/" TargetMode="External"/><Relationship Id="rId216" Type="http://schemas.openxmlformats.org/officeDocument/2006/relationships/hyperlink" Target="https://www.instagram.com/anthology.ilo" TargetMode="External"/><Relationship Id="rId217" Type="http://schemas.openxmlformats.org/officeDocument/2006/relationships/hyperlink" Target="https://www.facebook.com/anthology.ilo" TargetMode="External"/><Relationship Id="rId218" Type="http://schemas.openxmlformats.org/officeDocument/2006/relationships/hyperlink" Target="https://www.facebook.com/anthology.ilo/" TargetMode="External"/><Relationship Id="rId219" Type="http://schemas.openxmlformats.org/officeDocument/2006/relationships/hyperlink" Target="https://www.facebook.com/vinylrecordsstore" TargetMode="External"/><Relationship Id="rId220" Type="http://schemas.openxmlformats.org/officeDocument/2006/relationships/hyperlink" Target="https://www.google.com/maps/search/?api=1&amp;query=Prothrowbacks+Records+Vinyl+LP%27s+and+45%27s+Mabalacat+%28Pampanga%29+Philippines" TargetMode="External"/><Relationship Id="rId221" Type="http://schemas.openxmlformats.org/officeDocument/2006/relationships/hyperlink" Target="https://www.facebook.com/vinylrecordsstore/" TargetMode="External"/><Relationship Id="rId222" Type="http://schemas.openxmlformats.org/officeDocument/2006/relationships/hyperlink" Target="https://www.google.com/maps/search/?api=1&amp;query=Bebop+Records+B1+Makati+Central+Square+%28Cinema+Square%29%2C+Chino+Roces+Ave.+cor.+Arnaiz+Ave.%2C+Makati+City+Philippines" TargetMode="External"/><Relationship Id="rId223" Type="http://schemas.openxmlformats.org/officeDocument/2006/relationships/hyperlink" Target="https://www.bandwagon.asia/articles/list-record-stores-in-manila-philippines-vinyl-shopping" TargetMode="External"/><Relationship Id="rId224" Type="http://schemas.openxmlformats.org/officeDocument/2006/relationships/hyperlink" Target="https://www.google.com/maps/search/?api=1&amp;query=Hodge+Podge+San+Agustin+St.%2C+Legazpi+Village%2C+Makati+City+Philippines" TargetMode="External"/><Relationship Id="rId225" Type="http://schemas.openxmlformats.org/officeDocument/2006/relationships/hyperlink" Target="https://www.tiktok.com/discover/vinyl-cafe-philippines" TargetMode="External"/><Relationship Id="rId226" Type="http://schemas.openxmlformats.org/officeDocument/2006/relationships/hyperlink" Target="https://www.google.com/maps/search/?api=1&amp;query=Mutilated+Noise+Makati+City+Philippines" TargetMode="External"/><Relationship Id="rId227" Type="http://schemas.openxmlformats.org/officeDocument/2006/relationships/hyperlink" Target="https://www.bandwagon.asia/articles/list-record-stores-in-manila-philippines-vinyl-shopping" TargetMode="External"/><Relationship Id="rId228" Type="http://schemas.openxmlformats.org/officeDocument/2006/relationships/hyperlink" Target="https://www.instagram.com/plakaplanet" TargetMode="External"/><Relationship Id="rId229" Type="http://schemas.openxmlformats.org/officeDocument/2006/relationships/hyperlink" Target="https://www.facebook.com/PlakaPlanetMakati" TargetMode="External"/><Relationship Id="rId230" Type="http://schemas.openxmlformats.org/officeDocument/2006/relationships/hyperlink" Target="https://www.google.com/maps/search/?api=1&amp;query=PlakaPlanet+Makati+City+%28Wanderlog+lists+it+as+%27PlakaPlanet+MCS%27%2C+likely+Makati+Central+Square%29+Philippines" TargetMode="External"/><Relationship Id="rId231" Type="http://schemas.openxmlformats.org/officeDocument/2006/relationships/hyperlink" Target="https://www.instagram.com/plakaplanet/" TargetMode="External"/><Relationship Id="rId232" Type="http://schemas.openxmlformats.org/officeDocument/2006/relationships/hyperlink" Target="https://www.google.com/maps/search/?api=1&amp;query=Play+Record+Stop+4963+Guerrero+St.%2C+Makati+City+Philippines" TargetMode="External"/><Relationship Id="rId233" Type="http://schemas.openxmlformats.org/officeDocument/2006/relationships/hyperlink" Target="https://thesmartlocal.ph/?p=10840" TargetMode="External"/><Relationship Id="rId234" Type="http://schemas.openxmlformats.org/officeDocument/2006/relationships/hyperlink" Target="https://www.google.com/maps/search/?api=1&amp;query=Spindle+Community+Store+%28Spindle+Hole%29+Creekside+Mall%2C+Amorsolo+St.%2C+Legazpi+Village%2C+Makati+City+Philippines" TargetMode="External"/><Relationship Id="rId235" Type="http://schemas.openxmlformats.org/officeDocument/2006/relationships/hyperlink" Target="https://lifestyleasia-onemega.com/arts-and-culture/7-places-to-buy-vinyl-records-in-manila/" TargetMode="External"/><Relationship Id="rId236" Type="http://schemas.openxmlformats.org/officeDocument/2006/relationships/hyperlink" Target="https://www.google.com/maps/search/?api=1&amp;query=ThisisPop%21+Records+Legaspi+Towers+100%2C+Legaspi+Village%2C+Makati+City+Philippines" TargetMode="External"/><Relationship Id="rId237" Type="http://schemas.openxmlformats.org/officeDocument/2006/relationships/hyperlink" Target="https://bandwagon.asia/articles/a-record-store-for-the-discerning-record-collector-thisispop-opens-today" TargetMode="External"/><Relationship Id="rId238" Type="http://schemas.openxmlformats.org/officeDocument/2006/relationships/hyperlink" Target="https://www.google.com/maps/search/?api=1&amp;query=Backspacer+Records+Flair+Towers%2C+Reliance+cor.+Pines+St.%2C+Mandaluyong+City%3B+2F+D%27Ace+Plaza%2C+Kapitolyo%2C+Pasig+City+Philippines" TargetMode="External"/><Relationship Id="rId239" Type="http://schemas.openxmlformats.org/officeDocument/2006/relationships/hyperlink" Target="https://www.bandwagon.asia/articles/list-record-stores-in-manila-philippines-vinyl-shopping" TargetMode="External"/><Relationship Id="rId240" Type="http://schemas.openxmlformats.org/officeDocument/2006/relationships/hyperlink" Target="https://www.google.com/maps/search/?api=1&amp;query=Satchmi+4F+Mega+Fashion+Hall%2C+SM+Megamall%2C+Mandaluyong+City+%28other+branches+incl.+UP+Town+Center%2C+Quezon+City%29+Philippines" TargetMode="External"/><Relationship Id="rId241" Type="http://schemas.openxmlformats.org/officeDocument/2006/relationships/hyperlink" Target="https://www.crownasia.com.ph/lifestyle-blog/turn-back-the-hands-of-time-best-places-to-buy-vinyl-records-in-the-philippines/" TargetMode="External"/><Relationship Id="rId242" Type="http://schemas.openxmlformats.org/officeDocument/2006/relationships/hyperlink" Target="https://www.google.com/maps/search/?api=1&amp;query=The+Listening+Room+Level+3%2C+Building+B%2C+SM+Megamall%2C+Mandaluyong+City+Philippines" TargetMode="External"/><Relationship Id="rId243" Type="http://schemas.openxmlformats.org/officeDocument/2006/relationships/hyperlink" Target="https://lifestyleasia-onemega.com/arts-and-culture/7-places-to-buy-vinyl-records-in-manila/" TargetMode="External"/><Relationship Id="rId244" Type="http://schemas.openxmlformats.org/officeDocument/2006/relationships/hyperlink" Target="https://www.facebook.com/vinylcafePH" TargetMode="External"/><Relationship Id="rId245" Type="http://schemas.openxmlformats.org/officeDocument/2006/relationships/hyperlink" Target="https://www.facebook.com/vinylcafePH/" TargetMode="External"/><Relationship Id="rId246" Type="http://schemas.openxmlformats.org/officeDocument/2006/relationships/hyperlink" Target="https://www.instagram.com/treskulrecords" TargetMode="External"/><Relationship Id="rId247" Type="http://schemas.openxmlformats.org/officeDocument/2006/relationships/hyperlink" Target="https://www.google.com/maps/search/?api=1&amp;query=Treskul+Records+%26+Cafe+Bar+CIFRA+Building%2C+641+Boni+Avenue%2C+Mandaluyong+City%3B+2nd+branch+at+Ali+X%2C+2F+Ali+Mall%2C+Cubao%2C+Quezon+City+Philippines" TargetMode="External"/><Relationship Id="rId248" Type="http://schemas.openxmlformats.org/officeDocument/2006/relationships/hyperlink" Target="https://www.bandwagon.asia/articles/list-record-stores-in-manila-philippines-vinyl-shopping" TargetMode="External"/><Relationship Id="rId249" Type="http://schemas.openxmlformats.org/officeDocument/2006/relationships/hyperlink" Target="https://www.facebook.com/ericksvinylrecord" TargetMode="External"/><Relationship Id="rId250" Type="http://schemas.openxmlformats.org/officeDocument/2006/relationships/hyperlink" Target="https://www.google.com/maps/search/?api=1&amp;query=Erick+Records+Manila+Philippines" TargetMode="External"/><Relationship Id="rId251" Type="http://schemas.openxmlformats.org/officeDocument/2006/relationships/hyperlink" Target="https://www.facebook.com/ericksvinylrecord/" TargetMode="External"/><Relationship Id="rId252" Type="http://schemas.openxmlformats.org/officeDocument/2006/relationships/hyperlink" Target="https://plakamnl.com/" TargetMode="External"/><Relationship Id="rId253" Type="http://schemas.openxmlformats.org/officeDocument/2006/relationships/hyperlink" Target="https://www.instagram.com/plaka.mnl" TargetMode="External"/><Relationship Id="rId254" Type="http://schemas.openxmlformats.org/officeDocument/2006/relationships/hyperlink" Target="https://www.facebook.com/p/PlakaMNL-100063774737003" TargetMode="External"/><Relationship Id="rId255" Type="http://schemas.openxmlformats.org/officeDocument/2006/relationships/hyperlink" Target="https://www.tiktok.com/@plaka.mnl" TargetMode="External"/><Relationship Id="rId256" Type="http://schemas.openxmlformats.org/officeDocument/2006/relationships/hyperlink" Target="https://www.google.com/maps/search/?api=1&amp;query=Plaka.MNL+Manila+Philippines" TargetMode="External"/><Relationship Id="rId257" Type="http://schemas.openxmlformats.org/officeDocument/2006/relationships/hyperlink" Target="https://www.instagram.com/plaka.mnl/" TargetMode="External"/><Relationship Id="rId258" Type="http://schemas.openxmlformats.org/officeDocument/2006/relationships/hyperlink" Target="https://www.instagram.com/traxmanilarecords" TargetMode="External"/><Relationship Id="rId259" Type="http://schemas.openxmlformats.org/officeDocument/2006/relationships/hyperlink" Target="https://www.facebook.com/pages/Trax-Manila-Records/729614753793551" TargetMode="External"/><Relationship Id="rId260" Type="http://schemas.openxmlformats.org/officeDocument/2006/relationships/hyperlink" Target="https://www.google.com/maps/search/?api=1&amp;query=TRAX+Manila+Records+60+Sapphire+St.+cor.+Sandalwood%2C+Marikina+City+Philippines" TargetMode="External"/><Relationship Id="rId261" Type="http://schemas.openxmlformats.org/officeDocument/2006/relationships/hyperlink" Target="https://www.instagram.com/traxmanilarecords/" TargetMode="External"/><Relationship Id="rId262" Type="http://schemas.openxmlformats.org/officeDocument/2006/relationships/hyperlink" Target="https://news.abs-cbn.com/life/03/22/21/your-guide-to-hunting-for-vinyl-records-in-metro-manila" TargetMode="External"/><Relationship Id="rId263" Type="http://schemas.openxmlformats.org/officeDocument/2006/relationships/hyperlink" Target="https://news.abs-cbn.com/life/03/22/21/your-guide-to-hunting-for-vinyl-records-in-metro-manila" TargetMode="External"/><Relationship Id="rId264" Type="http://schemas.openxmlformats.org/officeDocument/2006/relationships/hyperlink" Target="https://news.abs-cbn.com/life/03/22/21/your-guide-to-hunting-for-vinyl-records-in-metro-manila" TargetMode="External"/><Relationship Id="rId265" Type="http://schemas.openxmlformats.org/officeDocument/2006/relationships/hyperlink" Target="https://www.instagram.com/markarvinrecords" TargetMode="External"/><Relationship Id="rId266" Type="http://schemas.openxmlformats.org/officeDocument/2006/relationships/hyperlink" Target="https://www.instagram.com/markarvinrecords/" TargetMode="External"/><Relationship Id="rId267" Type="http://schemas.openxmlformats.org/officeDocument/2006/relationships/hyperlink" Target="https://news.abs-cbn.com/life/03/22/21/your-guide-to-hunting-for-vinyl-records-in-metro-manila" TargetMode="External"/><Relationship Id="rId268" Type="http://schemas.openxmlformats.org/officeDocument/2006/relationships/hyperlink" Target="https://news.abs-cbn.com/life/03/22/21/your-guide-to-hunting-for-vinyl-records-in-metro-manila" TargetMode="External"/><Relationship Id="rId269" Type="http://schemas.openxmlformats.org/officeDocument/2006/relationships/hyperlink" Target="https://news.abs-cbn.com/life/03/22/21/your-guide-to-hunting-for-vinyl-records-in-metro-manila" TargetMode="External"/><Relationship Id="rId270" Type="http://schemas.openxmlformats.org/officeDocument/2006/relationships/hyperlink" Target="https://www.facebook.com/vinylfields.ph" TargetMode="External"/><Relationship Id="rId271" Type="http://schemas.openxmlformats.org/officeDocument/2006/relationships/hyperlink" Target="https://www.facebook.com/vinylfields.ph/" TargetMode="External"/><Relationship Id="rId272" Type="http://schemas.openxmlformats.org/officeDocument/2006/relationships/hyperlink" Target="https://www.facebook.com/blackcirclesbyalice" TargetMode="External"/><Relationship Id="rId273" Type="http://schemas.openxmlformats.org/officeDocument/2006/relationships/hyperlink" Target="https://www.google.com/maps/search/?api=1&amp;query=Black+Circles+by+Alice+Timog+Avenue%2C+Quezon+City+Philippines" TargetMode="External"/><Relationship Id="rId274" Type="http://schemas.openxmlformats.org/officeDocument/2006/relationships/hyperlink" Target="https://www.crownasia.com.ph/lifestyle-blog/turn-back-the-hands-of-time-best-places-to-buy-vinyl-records-in-the-philippines/" TargetMode="External"/><Relationship Id="rId275" Type="http://schemas.openxmlformats.org/officeDocument/2006/relationships/hyperlink" Target="https://www.google.com/maps/search/?api=1&amp;query=Golden+Days+Records+and+Collectibles+Quezon+City+Philippines" TargetMode="External"/><Relationship Id="rId276" Type="http://schemas.openxmlformats.org/officeDocument/2006/relationships/hyperlink" Target="https://www.discogs.com/forum/thread/714753" TargetMode="External"/><Relationship Id="rId277" Type="http://schemas.openxmlformats.org/officeDocument/2006/relationships/hyperlink" Target="https://www.instagram.com/goodvibrationsrecordsph" TargetMode="External"/><Relationship Id="rId278" Type="http://schemas.openxmlformats.org/officeDocument/2006/relationships/hyperlink" Target="https://www.google.com/maps/search/?api=1&amp;query=Good+Vibrations+Records+Cubao+Expo%2C+3+General+Romulo+Ave.%2C+Cubao%2C+Quezon+City+Philippines" TargetMode="External"/><Relationship Id="rId279" Type="http://schemas.openxmlformats.org/officeDocument/2006/relationships/hyperlink" Target="https://lifestyleasia-onemega.com/arts-and-culture/7-places-to-buy-vinyl-records-in-manila/" TargetMode="External"/><Relationship Id="rId280" Type="http://schemas.openxmlformats.org/officeDocument/2006/relationships/hyperlink" Target="https://www.google.com/maps/search/?api=1&amp;query=Happy+Dads+Vinyl+Shop+1106+Quezon+Street%2C+Quezon+City+Philippines" TargetMode="External"/><Relationship Id="rId281" Type="http://schemas.openxmlformats.org/officeDocument/2006/relationships/hyperlink" Target="https://www.gmanetwork.com/entertainment/showbiznews/record-shops-for-vinyl-collectors-to-visit-in-metro-manila/70384/" TargetMode="External"/><Relationship Id="rId282" Type="http://schemas.openxmlformats.org/officeDocument/2006/relationships/hyperlink" Target="https://www.instagram.com/plakaexpress" TargetMode="External"/><Relationship Id="rId283" Type="http://schemas.openxmlformats.org/officeDocument/2006/relationships/hyperlink" Target="https://www.facebook.com/plakaexpressonline" TargetMode="External"/><Relationship Id="rId284" Type="http://schemas.openxmlformats.org/officeDocument/2006/relationships/hyperlink" Target="https://www.google.com/maps/search/?api=1&amp;query=Plaka+Express+Record+Store+%2350+Palawan+St.%2C+Bagong+Pag-asa+%28Project+6+area%29%2C+Quezon+City+Philippines" TargetMode="External"/><Relationship Id="rId285" Type="http://schemas.openxmlformats.org/officeDocument/2006/relationships/hyperlink" Target="https://www.facebook.com/plakaexpressonline/" TargetMode="External"/><Relationship Id="rId286" Type="http://schemas.openxmlformats.org/officeDocument/2006/relationships/hyperlink" Target="https://www.facebook.com/rosanorecords" TargetMode="External"/><Relationship Id="rId287" Type="http://schemas.openxmlformats.org/officeDocument/2006/relationships/hyperlink" Target="https://www.facebook.com/rosanorecords/" TargetMode="External"/><Relationship Id="rId288" Type="http://schemas.openxmlformats.org/officeDocument/2006/relationships/hyperlink" Target="https://www.facebook.com/TheGreyMarketRecords" TargetMode="External"/><Relationship Id="rId289" Type="http://schemas.openxmlformats.org/officeDocument/2006/relationships/hyperlink" Target="https://www.google.com/maps/search/?api=1&amp;query=The+Grey+Market+Records+Bellitudo+Lifestyle+Strip%2C+79+Katipunan+Ave.%2C+White+Plains%2C+Quezon+City%3B+G%2FF+Fox+Square%2C+Greenhills%2C+San+Juan%3B+Salcedo+Village%2C+Makati+Philippines" TargetMode="External"/><Relationship Id="rId290" Type="http://schemas.openxmlformats.org/officeDocument/2006/relationships/hyperlink" Target="https://www.facebook.com/TheGreyMarketRecords/" TargetMode="External"/><Relationship Id="rId291" Type="http://schemas.openxmlformats.org/officeDocument/2006/relationships/hyperlink" Target="https://www.facebook.com/thevinyldepotqc" TargetMode="External"/><Relationship Id="rId292" Type="http://schemas.openxmlformats.org/officeDocument/2006/relationships/hyperlink" Target="https://www.facebook.com/thevinyldepotqc/" TargetMode="External"/><Relationship Id="rId293" Type="http://schemas.openxmlformats.org/officeDocument/2006/relationships/hyperlink" Target="https://www.facebook.com/Theyynilshop" TargetMode="External"/><Relationship Id="rId294" Type="http://schemas.openxmlformats.org/officeDocument/2006/relationships/hyperlink" Target="https://www.facebook.com/Theyynilshop" TargetMode="External"/><Relationship Id="rId295" Type="http://schemas.openxmlformats.org/officeDocument/2006/relationships/hyperlink" Target="https://www.facebook.com/VinylDumpThriftStore" TargetMode="External"/><Relationship Id="rId296" Type="http://schemas.openxmlformats.org/officeDocument/2006/relationships/hyperlink" Target="https://www.google.com/maps/search/?api=1&amp;query=Vinyl+Dump+Thrift+Store+Store+%2323%2C+Cubao+Expo%2C+General+Romulo+Ave.%2C+Araneta+Center%2C+Cubao%2C+Quezon+City+Philippines" TargetMode="External"/><Relationship Id="rId297" Type="http://schemas.openxmlformats.org/officeDocument/2006/relationships/hyperlink" Target="https://www.facebook.com/VinylDumpThriftStore/" TargetMode="External"/><Relationship Id="rId298" Type="http://schemas.openxmlformats.org/officeDocument/2006/relationships/hyperlink" Target="https://www.google.com/maps/search/?api=1&amp;query=Yesteryears+Music+Gallery+and+Vinyl+Store+87+Maginhawa+St.+cor.+Magiting+St.%2C+UP+Village%2C+Quezon+City+Philippines" TargetMode="External"/><Relationship Id="rId299" Type="http://schemas.openxmlformats.org/officeDocument/2006/relationships/hyperlink" Target="https://www.bandwagon.asia/articles/list-record-stores-in-manila-philippines-vinyl-shopping" TargetMode="External"/><Relationship Id="rId300" Type="http://schemas.openxmlformats.org/officeDocument/2006/relationships/hyperlink" Target="https://www.facebook.com/p/Music-Depot-100057137902994" TargetMode="External"/><Relationship Id="rId301" Type="http://schemas.openxmlformats.org/officeDocument/2006/relationships/hyperlink" Target="https://www.google.com/maps/search/?api=1&amp;query=Music+Depot+G%2FF+Theater+Mall%2C+Greenhills+Shopping+Center%2C+San+Juan+City%3B+also+Ayala+Malls+The+30th%2C+Pasig+Philippines" TargetMode="External"/><Relationship Id="rId302" Type="http://schemas.openxmlformats.org/officeDocument/2006/relationships/hyperlink" Target="https://www.facebook.com/p/Music-Depot-100057137902994/" TargetMode="External"/><Relationship Id="rId303" Type="http://schemas.openxmlformats.org/officeDocument/2006/relationships/hyperlink" Target="https://www.google.com/maps/search/?api=1&amp;query=Ted+Ellis+2F+Espacio+Hotel%2C+Bayani+Road%2C+AFPOVAI%2C+Taguig+City+Philippines" TargetMode="External"/><Relationship Id="rId304" Type="http://schemas.openxmlformats.org/officeDocument/2006/relationships/hyperlink" Target="https://lifestyleasia-onemega.com/arts-and-culture/7-places-to-buy-vinyl-records-in-manila/" TargetMode="External"/><Relationship Id="rId305" Type="http://schemas.openxmlformats.org/officeDocument/2006/relationships/hyperlink" Target="https://www.instagram.com/absoluterecords.sg.my" TargetMode="External"/><Relationship Id="rId306" Type="http://schemas.openxmlformats.org/officeDocument/2006/relationships/hyperlink" Target="https://www.facebook.com/p/Absolute-Records-100089438464627" TargetMode="External"/><Relationship Id="rId307" Type="http://schemas.openxmlformats.org/officeDocument/2006/relationships/hyperlink" Target="https://www.tatlerasia.com/lifestyle/arts/best-record-stores-in-singapore" TargetMode="External"/><Relationship Id="rId308" Type="http://schemas.openxmlformats.org/officeDocument/2006/relationships/hyperlink" Target="https://www.google.com/maps/search/?api=1&amp;query=Avant+Culture+Club+195+Pearl%27s+Hill+Terrace%2C+Singapore+%28Outram%29+Singapour" TargetMode="External"/><Relationship Id="rId309" Type="http://schemas.openxmlformats.org/officeDocument/2006/relationships/hyperlink" Target="https://www.fzine.com/culture/avant-culture-club-vinyl-store" TargetMode="External"/><Relationship Id="rId310" Type="http://schemas.openxmlformats.org/officeDocument/2006/relationships/hyperlink" Target="https://www.google.com/maps/search/?api=1&amp;query=Black+Gold+Collections+Singapore+Singapour" TargetMode="External"/><Relationship Id="rId311" Type="http://schemas.openxmlformats.org/officeDocument/2006/relationships/hyperlink" Target="https://citynomads.com/record-stores-in-singapore-where-to-find-vinyls-turntables-cassettes/" TargetMode="External"/><Relationship Id="rId312" Type="http://schemas.openxmlformats.org/officeDocument/2006/relationships/hyperlink" Target="https://www.instagram.com/cherrylanerecords" TargetMode="External"/><Relationship Id="rId313" Type="http://schemas.openxmlformats.org/officeDocument/2006/relationships/hyperlink" Target="https://www.google.com/maps/search/?api=1&amp;query=Cherry+Lane+Records+%2301-05+The+Modules%2C+387+Joo+Chiat+Road%2C+Singapore+427623+%28nearest+MRT+Marine+Parade%29+Singapour" TargetMode="External"/><Relationship Id="rId314" Type="http://schemas.openxmlformats.org/officeDocument/2006/relationships/hyperlink" Target="https://www.timeout.com/singapore/music/cherry-lane-records" TargetMode="External"/><Relationship Id="rId315" Type="http://schemas.openxmlformats.org/officeDocument/2006/relationships/hyperlink" Target="https://www.instagram.com/choicecutsgoods" TargetMode="External"/><Relationship Id="rId316" Type="http://schemas.openxmlformats.org/officeDocument/2006/relationships/hyperlink" Target="https://www.google.com/maps/search/?api=1&amp;query=Choice+Cuts+Goods+%2B+Coffee+%28Choice+Cuts+Pizza+%26+Records%29+446+Joo+Chiat+Road%2C+Singapore+427659+%28moved+from+Serangoon+Road%29+Singapour" TargetMode="External"/><Relationship Id="rId317" Type="http://schemas.openxmlformats.org/officeDocument/2006/relationships/hyperlink" Target="https://www.tatlerasia.com/lifestyle/arts/best-record-stores-in-singapore" TargetMode="External"/><Relationship Id="rId318" Type="http://schemas.openxmlformats.org/officeDocument/2006/relationships/hyperlink" Target="https://curatedrecords.com/" TargetMode="External"/><Relationship Id="rId319" Type="http://schemas.openxmlformats.org/officeDocument/2006/relationships/hyperlink" Target="https://www.instagram.com/curatedrecords" TargetMode="External"/><Relationship Id="rId320" Type="http://schemas.openxmlformats.org/officeDocument/2006/relationships/hyperlink" Target="https://www.facebook.com/curatedrecords" TargetMode="External"/><Relationship Id="rId321" Type="http://schemas.openxmlformats.org/officeDocument/2006/relationships/hyperlink" Target="https://www.google.com/maps/search/?api=1&amp;query=Curated+Records+766A+North+Bridge+Road%2C+Singapore+198734+%282-storey+shophouse+near+Kampong+Glam%3B+previously+55+Tiong+Bahru+Road+until+2021%29+Singapour" TargetMode="External"/><Relationship Id="rId322" Type="http://schemas.openxmlformats.org/officeDocument/2006/relationships/hyperlink" Target="https://citynomads.com/record-stores-in-singapore-where-to-find-vinyls-turntables-cassettes/" TargetMode="External"/><Relationship Id="rId323" Type="http://schemas.openxmlformats.org/officeDocument/2006/relationships/hyperlink" Target="https://www.google.com/maps/search/?api=1&amp;query=Fook+Yu+Records+150+South+Bridge+Road%2C+Singapore+%28Chinatown%29+Singapour" TargetMode="External"/><Relationship Id="rId324" Type="http://schemas.openxmlformats.org/officeDocument/2006/relationships/hyperlink" Target="https://www.homeanddecor.com.sg/shopping/shopping-where-to-buy-vinyl-records-in-singapore-and-how-to-play-them" TargetMode="External"/><Relationship Id="rId325" Type="http://schemas.openxmlformats.org/officeDocument/2006/relationships/hyperlink" Target="https://www.facebook.com/ForTheRecordSG" TargetMode="External"/><Relationship Id="rId326" Type="http://schemas.openxmlformats.org/officeDocument/2006/relationships/hyperlink" Target="https://www.google.com/maps/search/?api=1&amp;query=For+The+Record+Peninsula+Shopping+Centre%2C+3+Coleman+Street%2C+%2304-28%2C+Singapore+179804+Singapour" TargetMode="External"/><Relationship Id="rId327" Type="http://schemas.openxmlformats.org/officeDocument/2006/relationships/hyperlink" Target="https://www.facebook.com/ForTheRecordSG" TargetMode="External"/><Relationship Id="rId328" Type="http://schemas.openxmlformats.org/officeDocument/2006/relationships/hyperlink" Target="https://www.hearrecords.com.sg/" TargetMode="External"/><Relationship Id="rId329" Type="http://schemas.openxmlformats.org/officeDocument/2006/relationships/hyperlink" Target="https://www.instagram.com/hearrecords" TargetMode="External"/><Relationship Id="rId330" Type="http://schemas.openxmlformats.org/officeDocument/2006/relationships/hyperlink" Target="https://www.google.com/maps/search/?api=1&amp;query=Hear+Records+%2301-18+Burlington+Square%2C+175B+Bencoolen+Street%2C+Singapore+189651+%28Bandwagon+lists+unit+%2301-39%29+Singapour" TargetMode="External"/><Relationship Id="rId331" Type="http://schemas.openxmlformats.org/officeDocument/2006/relationships/hyperlink" Target="https://www.timeout.com/singapore/shopping/hear-records" TargetMode="External"/><Relationship Id="rId332" Type="http://schemas.openxmlformats.org/officeDocument/2006/relationships/hyperlink" Target="https://www.google.com/maps/search/?api=1&amp;query=House+of+Turntables+Millenia+Walk+%28Marina+Centre%29%3B+earlier+on+Commonwealth+Drive+Singapour" TargetMode="External"/><Relationship Id="rId333" Type="http://schemas.openxmlformats.org/officeDocument/2006/relationships/hyperlink" Target="https://citynomads.com/record-stores-in-singapore-where-to-find-vinyls-turntables-cassettes/" TargetMode="External"/><Relationship Id="rId334" Type="http://schemas.openxmlformats.org/officeDocument/2006/relationships/hyperlink" Target="https://www.google.com/maps/search/?api=1&amp;query=Inokii+Far+East+Plaza%2C+14+Scotts+Road%2C+Singapore+%28Orchard%29+Singapour" TargetMode="External"/><Relationship Id="rId335" Type="http://schemas.openxmlformats.org/officeDocument/2006/relationships/hyperlink" Target="https://thehoneycombers.com/singapore/record-stores-vinyls-turntables-singapore/" TargetMode="External"/><Relationship Id="rId336" Type="http://schemas.openxmlformats.org/officeDocument/2006/relationships/hyperlink" Target="https://www.google.com/maps/search/?api=1&amp;query=Intermix+Records+The+Adelphi%2C+1+Coleman+Street%2C+Singapore+Singapour" TargetMode="External"/><Relationship Id="rId337" Type="http://schemas.openxmlformats.org/officeDocument/2006/relationships/hyperlink" Target="https://stereonet.com/show/asia/2026-stereonet-asia-hifi-av-expo" TargetMode="External"/><Relationship Id="rId338" Type="http://schemas.openxmlformats.org/officeDocument/2006/relationships/hyperlink" Target="https://thehoneycombers.com/singapore/record-store-day-in-singapore-fred-perry-record-rally-is-one-music-event-you-cant-miss" TargetMode="External"/><Relationship Id="rId339" Type="http://schemas.openxmlformats.org/officeDocument/2006/relationships/hyperlink" Target="https://www.google.com/maps/search/?api=1&amp;query=Lifted+Trax+Level+3+shophouse%2C+Lorong+Telok+%28Boat+Quay%29+Singapour" TargetMode="External"/><Relationship Id="rId340" Type="http://schemas.openxmlformats.org/officeDocument/2006/relationships/hyperlink" Target="https://thesmartlocal.com/read/lifted-trax-record-store-singapore/" TargetMode="External"/><Relationship Id="rId341" Type="http://schemas.openxmlformats.org/officeDocument/2006/relationships/hyperlink" Target="https://www.google.com/maps/search/?api=1&amp;query=Memory+Lane+The+Adelphi+%28basement%29%2C+1+Coleman+Street%2C+Singapore+Singapour" TargetMode="External"/><Relationship Id="rId342" Type="http://schemas.openxmlformats.org/officeDocument/2006/relationships/hyperlink" Target="https://robbreport.com.sg/where-to-buy-vinyl-in-singapore-old-school-record-stores-that-sell-vinyl-walkmans-and-cassettes/" TargetMode="External"/><Relationship Id="rId343" Type="http://schemas.openxmlformats.org/officeDocument/2006/relationships/hyperlink" Target="https://www.instagram.com/mostarecordslp" TargetMode="External"/><Relationship Id="rId344" Type="http://schemas.openxmlformats.org/officeDocument/2006/relationships/hyperlink" Target="https://www.instagram.com/mostarecordslp/" TargetMode="External"/><Relationship Id="rId345" Type="http://schemas.openxmlformats.org/officeDocument/2006/relationships/hyperlink" Target="https://www.instagram.com/musicology.records" TargetMode="External"/><Relationship Id="rId346" Type="http://schemas.openxmlformats.org/officeDocument/2006/relationships/hyperlink" Target="https://www.google.com/maps/search/?api=1&amp;query=Musicology+Records+66+Haji+Lane%2C+Singapore+189259+%28Kampong+Glam%29+Singapour" TargetMode="External"/><Relationship Id="rId347" Type="http://schemas.openxmlformats.org/officeDocument/2006/relationships/hyperlink" Target="https://www.instagram.com/musicology.records/" TargetMode="External"/><Relationship Id="rId348" Type="http://schemas.openxmlformats.org/officeDocument/2006/relationships/hyperlink" Target="https://www.facebook.com/RedPointRecord" TargetMode="External"/><Relationship Id="rId349" Type="http://schemas.openxmlformats.org/officeDocument/2006/relationships/hyperlink" Target="https://www.google.com/maps/search/?api=1&amp;query=Red+Point+Record+Warehouse+80+Playfair+Road%2C+%2306-11+Kapo+Factory+Building+Blk+B%2C+Singapore+367998+%28Tai+Seng%29+Singapour" TargetMode="External"/><Relationship Id="rId350" Type="http://schemas.openxmlformats.org/officeDocument/2006/relationships/hyperlink" Target="https://citynomads.com/record-stores-in-singapore-where-to-find-vinyls-turntables-cassettes/" TargetMode="External"/><Relationship Id="rId351" Type="http://schemas.openxmlformats.org/officeDocument/2006/relationships/hyperlink" Target="https://www.instagram.com/retrocrates" TargetMode="External"/><Relationship Id="rId352" Type="http://schemas.openxmlformats.org/officeDocument/2006/relationships/hyperlink" Target="https://www.facebook.com/RetroCrates" TargetMode="External"/><Relationship Id="rId353" Type="http://schemas.openxmlformats.org/officeDocument/2006/relationships/hyperlink" Target="https://www.google.com/maps/search/?api=1&amp;query=RetroCrates+450A+Joo+Chiat+Road%2C+Singapore+%28Joo+Chiat+%2F+Katong%29+Singapour" TargetMode="External"/><Relationship Id="rId354" Type="http://schemas.openxmlformats.org/officeDocument/2006/relationships/hyperlink" Target="https://www.facebook.com/RetroCrates/" TargetMode="External"/><Relationship Id="rId355" Type="http://schemas.openxmlformats.org/officeDocument/2006/relationships/hyperlink" Target="https://www.retrophonicrecords.com/" TargetMode="External"/><Relationship Id="rId356" Type="http://schemas.openxmlformats.org/officeDocument/2006/relationships/hyperlink" Target="https://www.facebook.com/RetrophonicRecords" TargetMode="External"/><Relationship Id="rId357" Type="http://schemas.openxmlformats.org/officeDocument/2006/relationships/hyperlink" Target="https://www.google.com/maps/search/?api=1&amp;query=Retrophonic+Records+18A+Duxton+Road%2C+Singapore+%28Tanjong+Pagar%3B+formerly+Chinatown+Plaza+showroom%29+Singapour" TargetMode="External"/><Relationship Id="rId358" Type="http://schemas.openxmlformats.org/officeDocument/2006/relationships/hyperlink" Target="https://www.retrophonicrecords.com/about/" TargetMode="External"/><Relationship Id="rId359" Type="http://schemas.openxmlformats.org/officeDocument/2006/relationships/hyperlink" Target="https://www.google.com/maps/search/?api=1&amp;query=Rhapsody+Records+Holland+Road+Shopping+Centre%2C+Singapore+Singapour" TargetMode="External"/><Relationship Id="rId360" Type="http://schemas.openxmlformats.org/officeDocument/2006/relationships/hyperlink" Target="https://www.homeanddecor.com.sg/shopping/shopping-where-to-buy-vinyl-records-in-singapore-and-how-to-play-them" TargetMode="External"/><Relationship Id="rId361" Type="http://schemas.openxmlformats.org/officeDocument/2006/relationships/hyperlink" Target="https://www.google.com/maps/search/?api=1&amp;query=Roxy+Disc+House+39+Jalan+Pemimpin%2C+%2301-03%2C+Singapore+577182+%28also+listed+at+The+Adelphi%2C+1+Coleman+St+%2303-41%2F42%29+Singapour" TargetMode="External"/><Relationship Id="rId362" Type="http://schemas.openxmlformats.org/officeDocument/2006/relationships/hyperlink" Target="https://thesmartlocal.com/read/cd-shops-singapore/" TargetMode="External"/><Relationship Id="rId363" Type="http://schemas.openxmlformats.org/officeDocument/2006/relationships/hyperlink" Target="https://www.facebook.com/RoxyRecordsAndTrading" TargetMode="External"/><Relationship Id="rId364" Type="http://schemas.openxmlformats.org/officeDocument/2006/relationships/hyperlink" Target="https://www.google.com/maps/search/?api=1&amp;query=Roxy+Records+%26+Trading+Excelsior+Shopping+Centre%2C+5+Coleman+Street%2C+%2302-15%2C+Singapore+179805+Singapour" TargetMode="External"/><Relationship Id="rId365" Type="http://schemas.openxmlformats.org/officeDocument/2006/relationships/hyperlink" Target="https://www.facebook.com/RoxyRecordsAndTrading/" TargetMode="External"/><Relationship Id="rId366" Type="http://schemas.openxmlformats.org/officeDocument/2006/relationships/hyperlink" Target="https://www.google.com/maps/search/?api=1&amp;query=Simply+Music+%2303-46+The+Adelphi%2C+1+Coleman+Street%2C+Singapore+179803+Singapour" TargetMode="External"/><Relationship Id="rId367" Type="http://schemas.openxmlformats.org/officeDocument/2006/relationships/hyperlink" Target="https://citynomads.com/record-stores-in-singapore-where-to-find-vinyls-turntables-cassettes/" TargetMode="External"/><Relationship Id="rId368" Type="http://schemas.openxmlformats.org/officeDocument/2006/relationships/hyperlink" Target="https://www.google.com/maps/search/?api=1&amp;query=Slow+Boat+45A+Craig+Road%2C+Singapore+%28Tanjong+Pagar%29+Singapour" TargetMode="External"/><Relationship Id="rId369" Type="http://schemas.openxmlformats.org/officeDocument/2006/relationships/hyperlink" Target="https://sethlui.com/vinyl-cafes-singapore-guide/" TargetMode="External"/><Relationship Id="rId370" Type="http://schemas.openxmlformats.org/officeDocument/2006/relationships/hyperlink" Target="https://www.google.com/maps/search/?api=1&amp;query=Straits+Records+11+Balestier+Road%2C+Singapore+%28per+CityNomads%29+Singapour" TargetMode="External"/><Relationship Id="rId371" Type="http://schemas.openxmlformats.org/officeDocument/2006/relationships/hyperlink" Target="https://citynomads.com/record-stores-in-singapore-where-to-find-vinyls-turntables-cassettes/" TargetMode="External"/><Relationship Id="rId372" Type="http://schemas.openxmlformats.org/officeDocument/2006/relationships/hyperlink" Target="https://www.instagram.com/surfacenoiserecs" TargetMode="External"/><Relationship Id="rId373" Type="http://schemas.openxmlformats.org/officeDocument/2006/relationships/hyperlink" Target="https://www.google.com/maps/search/?api=1&amp;query=Surface+Noise+Level+4%2C+Textile+Centre%2C+200+Jalan+Sultan%2C+Singapore+%28Arab+Street+precinct%29+Singapour" TargetMode="External"/><Relationship Id="rId374" Type="http://schemas.openxmlformats.org/officeDocument/2006/relationships/hyperlink" Target="https://robbreport.com.sg/where-to-buy-vinyl-in-singapore-old-school-record-stores-that-sell-vinyl-walkmans-and-cassettes/" TargetMode="External"/><Relationship Id="rId375" Type="http://schemas.openxmlformats.org/officeDocument/2006/relationships/hyperlink" Target="https://www.google.com/maps/search/?api=1&amp;query=Swee+Lee+The+Star+Vista+%28Buona+Vista%29%3B+Swee+Lee+Clarke+Quay+%28caf&#233;%2Fmusic+space%29+Singapour" TargetMode="External"/><Relationship Id="rId376" Type="http://schemas.openxmlformats.org/officeDocument/2006/relationships/hyperlink" Target="https://thehoneycombers.com/singapore/?p=46024" TargetMode="External"/><Relationship Id="rId377" Type="http://schemas.openxmlformats.org/officeDocument/2006/relationships/hyperlink" Target="https://www.instagram.com/analog_vault" TargetMode="External"/><Relationship Id="rId378" Type="http://schemas.openxmlformats.org/officeDocument/2006/relationships/hyperlink" Target="https://www.google.com/maps/search/?api=1&amp;query=The+Analog+Vault+26+Sin+Ming+Lane%2C+%2303-121+Midview+City%2C+Singapore+573971+%28HQ%2Fwarehouse+per+Bandwagon+&#8211;+online+orders+%26+collection%29%3B+formerly+Esplanade+Mall+%2302-13%2C+8+Raffles+Avenue%2C+Si" TargetMode="External"/><Relationship Id="rId379" Type="http://schemas.openxmlformats.org/officeDocument/2006/relationships/hyperlink" Target="https://citynomads.com/record-stores-in-singapore-where-to-find-vinyls-turntables-cassettes/" TargetMode="External"/><Relationship Id="rId380" Type="http://schemas.openxmlformats.org/officeDocument/2006/relationships/hyperlink" Target="https://www.instagram.com/thebarbershopmusic" TargetMode="External"/><Relationship Id="rId381" Type="http://schemas.openxmlformats.org/officeDocument/2006/relationships/hyperlink" Target="https://www.google.com/maps/search/?api=1&amp;query=The+Barbershop+Music+428+Joo+Chiat+Road%2C+Singapore+427645+%28Honeycombers+lists+it+on+Geylang+Road%29+Singapour" TargetMode="External"/><Relationship Id="rId382" Type="http://schemas.openxmlformats.org/officeDocument/2006/relationships/hyperlink" Target="https://thesmartlocal.com/read/vinyl-record-stores/" TargetMode="External"/><Relationship Id="rId383" Type="http://schemas.openxmlformats.org/officeDocument/2006/relationships/hyperlink" Target="https://www.homeanddecor.com.sg/shopping/shopping-where-to-buy-vinyl-records-in-singapore-and-how-to-play-them" TargetMode="External"/><Relationship Id="rId384" Type="http://schemas.openxmlformats.org/officeDocument/2006/relationships/hyperlink" Target="https://www.facebook.com/VinylKakis" TargetMode="External"/><Relationship Id="rId385" Type="http://schemas.openxmlformats.org/officeDocument/2006/relationships/hyperlink" Target="https://www.google.com/maps/search/?api=1&amp;query=Vinyl+Kakis+Excelsior+Shopping+Centre%2C+5+Coleman+Street%2C+%23B1-28%2C+Singapore+179805+Singapour" TargetMode="External"/><Relationship Id="rId386" Type="http://schemas.openxmlformats.org/officeDocument/2006/relationships/hyperlink" Target="https://www.facebook.com/VinylKakis/" TargetMode="External"/><Relationship Id="rId387" Type="http://schemas.openxmlformats.org/officeDocument/2006/relationships/hyperlink" Target="https://www.google.com/maps/search/?api=1&amp;query=Vinylucky+The+Adelphi%2C+1+Coleman+Street%2C+Singapore+Singapour" TargetMode="External"/><Relationship Id="rId388" Type="http://schemas.openxmlformats.org/officeDocument/2006/relationships/hyperlink" Target="https://www.homeanddecor.com.sg/shopping/shopping-where-to-buy-vinyl-records-in-singapore-and-how-to-play-them" TargetMode="External"/><Relationship Id="rId389" Type="http://schemas.openxmlformats.org/officeDocument/2006/relationships/hyperlink" Target="https://www.google.com/maps/search/?api=1&amp;query=White+Label+Records+28+Ann+Siang+Road%2C+%2301-01+%28Ann+Siang+House%2C+Chinatown%29+Singapour" TargetMode="External"/><Relationship Id="rId390" Type="http://schemas.openxmlformats.org/officeDocument/2006/relationships/hyperlink" Target="https://shopee.sg/blog/vinyl-records-in-singapore/amp/" TargetMode="External"/><Relationship Id="rId391" Type="http://schemas.openxmlformats.org/officeDocument/2006/relationships/hyperlink" Target="https://www.google.com/maps/search/?api=1&amp;query=Zenn+Audio+Electronics+Bedok+Shopping+Complex%2C+292+Bedok+Road%2C+Singapore+%28Simpang+Bedok%29+Singapour" TargetMode="External"/><Relationship Id="rId392" Type="http://schemas.openxmlformats.org/officeDocument/2006/relationships/hyperlink" Target="https://www.timeout.com/singapore/shopping/zenn-audio-electronics" TargetMode="External"/><Relationship Id="rId393" Type="http://schemas.openxmlformats.org/officeDocument/2006/relationships/hyperlink" Target="https://www.instagram.com/cempaka_musicstore" TargetMode="External"/><Relationship Id="rId394" Type="http://schemas.openxmlformats.org/officeDocument/2006/relationships/hyperlink" Target="https://www.google.com/maps/search/?api=1&amp;query=Cempaka+Music+Store+Indon&#233;sie" TargetMode="External"/><Relationship Id="rId395" Type="http://schemas.openxmlformats.org/officeDocument/2006/relationships/hyperlink" Target="https://www.instagram.com/cempaka_musicstore/" TargetMode="External"/><Relationship Id="rId396" Type="http://schemas.openxmlformats.org/officeDocument/2006/relationships/hyperlink" Target="https://www.instagram.com/fantasi_musik_indonesia" TargetMode="External"/><Relationship Id="rId397" Type="http://schemas.openxmlformats.org/officeDocument/2006/relationships/hyperlink" Target="https://www.instagram.com/fantasi_musik_indonesia/" TargetMode="External"/><Relationship Id="rId398" Type="http://schemas.openxmlformats.org/officeDocument/2006/relationships/hyperlink" Target="https://www.medcom.id/hiburan/indis/8N00DAdN-meraup-untung-dari-piringan-hitam-di-tengah-pandemi" TargetMode="External"/><Relationship Id="rId399" Type="http://schemas.openxmlformats.org/officeDocument/2006/relationships/hyperlink" Target="https://www.instagram.com/turnandturn" TargetMode="External"/><Relationship Id="rId400" Type="http://schemas.openxmlformats.org/officeDocument/2006/relationships/hyperlink" Target="https://www.google.com/maps/search/?api=1&amp;query=Turn+and+Turn+Record+Indon&#233;sie" TargetMode="External"/><Relationship Id="rId401" Type="http://schemas.openxmlformats.org/officeDocument/2006/relationships/hyperlink" Target="https://www.instagram.com/turnandturn/" TargetMode="External"/><Relationship Id="rId402" Type="http://schemas.openxmlformats.org/officeDocument/2006/relationships/hyperlink" Target="https://www.instagram.com/millersrecordsbali" TargetMode="External"/><Relationship Id="rId403" Type="http://schemas.openxmlformats.org/officeDocument/2006/relationships/hyperlink" Target="https://www.google.com/maps/search/?api=1&amp;query=Millers+Records+Bali+Bali+Indon&#233;sie" TargetMode="External"/><Relationship Id="rId404" Type="http://schemas.openxmlformats.org/officeDocument/2006/relationships/hyperlink" Target="https://www.instagram.com/millersrecordsbali/" TargetMode="External"/><Relationship Id="rId405" Type="http://schemas.openxmlformats.org/officeDocument/2006/relationships/hyperlink" Target="https://www.google.com/maps/search/?api=1&amp;query=Peels+Records+Bali+Mengwi%2C+Badung%2C+Bali+%28ground-floor+unit%29+Indon&#233;sie" TargetMode="External"/><Relationship Id="rId406" Type="http://schemas.openxmlformats.org/officeDocument/2006/relationships/hyperlink" Target="https://superfuture.com/?p=109708" TargetMode="External"/><Relationship Id="rId407" Type="http://schemas.openxmlformats.org/officeDocument/2006/relationships/hyperlink" Target="https://bhangrecords.com/" TargetMode="External"/><Relationship Id="rId408" Type="http://schemas.openxmlformats.org/officeDocument/2006/relationships/hyperlink" Target="https://www.google.com/maps/search/?api=1&amp;query=Bhang+Records+Jl.+Sukasenang+III+No.+4%2C+Cikutra%2C+Cibeunying+Kidul%2C+Bandung+40124+Indon&#233;sie" TargetMode="External"/><Relationship Id="rId409" Type="http://schemas.openxmlformats.org/officeDocument/2006/relationships/hyperlink" Target="https://www.thevinylfactory.com/features/the-worlds-best-record-shops-057-bhang-records-bandung" TargetMode="External"/><Relationship Id="rId410" Type="http://schemas.openxmlformats.org/officeDocument/2006/relationships/hyperlink" Target="https://www.google.com/maps/search/?api=1&amp;query=DU+68+Musik+Jl.+Dipatiukur+No.+68%2C+Bandung+Indon&#233;sie" TargetMode="External"/><Relationship Id="rId411" Type="http://schemas.openxmlformats.org/officeDocument/2006/relationships/hyperlink" Target="https://www.detik.com/jabar/foto/d-6883469/nostalgia-lewat-kaset-pita?zoom=1" TargetMode="External"/><Relationship Id="rId412" Type="http://schemas.openxmlformats.org/officeDocument/2006/relationships/hyperlink" Target="https://www.instagram.com/imaginairerecordstore" TargetMode="External"/><Relationship Id="rId413" Type="http://schemas.openxmlformats.org/officeDocument/2006/relationships/hyperlink" Target="https://www.google.com/maps/search/?api=1&amp;query=Imaginaire+Record+Store+Bandung+Indon&#233;sie" TargetMode="External"/><Relationship Id="rId414" Type="http://schemas.openxmlformats.org/officeDocument/2006/relationships/hyperlink" Target="https://www.instagram.com/imaginairerecordstore/" TargetMode="External"/><Relationship Id="rId415" Type="http://schemas.openxmlformats.org/officeDocument/2006/relationships/hyperlink" Target="https://www.google.com/maps/search/?api=1&amp;query=Keep+Keep+Musik+Jl.+Kiputih+No.+1%2C+Bandung+Indon&#233;sie" TargetMode="External"/><Relationship Id="rId416" Type="http://schemas.openxmlformats.org/officeDocument/2006/relationships/hyperlink" Target="https://www.stampthewax.com/?p=31962" TargetMode="External"/><Relationship Id="rId417" Type="http://schemas.openxmlformats.org/officeDocument/2006/relationships/hyperlink" Target="https://www.google.com/maps/search/?api=1&amp;query=Kineruku+Jl.+Hegarmanah+No.+52%2C+Bandung+Indon&#233;sie" TargetMode="External"/><Relationship Id="rId418" Type="http://schemas.openxmlformats.org/officeDocument/2006/relationships/hyperlink" Target="https://digilib.uinsgd.ac.id/109029/4/4_BAB%20I.pdf" TargetMode="External"/><Relationship Id="rId419" Type="http://schemas.openxmlformats.org/officeDocument/2006/relationships/hyperlink" Target="https://www.google.com/maps/search/?api=1&amp;query=Omuniuum+Jl.+Ciumbuleuit+No.+151%2C+Bandung+Indon&#233;sie" TargetMode="External"/><Relationship Id="rId420" Type="http://schemas.openxmlformats.org/officeDocument/2006/relationships/hyperlink" Target="https://digilib.uinsgd.ac.id/109029/4/4_BAB%20I.pdf" TargetMode="External"/><Relationship Id="rId421" Type="http://schemas.openxmlformats.org/officeDocument/2006/relationships/hyperlink" Target="https://www.instagram.com/peels.records" TargetMode="External"/><Relationship Id="rId422" Type="http://schemas.openxmlformats.org/officeDocument/2006/relationships/hyperlink" Target="https://www.google.com/maps/search/?api=1&amp;query=Peels+Records+%26+Bar+Jl.+Ir.+H.+Juanda+No.+113+%282nd+floor%29%2C+Dago%2C+Coblong%2C+Bandung+40132+Indon&#233;sie" TargetMode="External"/><Relationship Id="rId423" Type="http://schemas.openxmlformats.org/officeDocument/2006/relationships/hyperlink" Target="https://mixmag.asia/read/peels-records-opens-bandung-vinyl-store-cocktail-bar-indonesia-local" TargetMode="External"/><Relationship Id="rId424" Type="http://schemas.openxmlformats.org/officeDocument/2006/relationships/hyperlink" Target="https://www.instagram.com/quickeningstore" TargetMode="External"/><Relationship Id="rId425" Type="http://schemas.openxmlformats.org/officeDocument/2006/relationships/hyperlink" Target="https://www.google.com/maps/search/?api=1&amp;query=Quickening+Store+Stores+in+Bandung+and+Jakarta+Indon&#233;sie" TargetMode="External"/><Relationship Id="rId426" Type="http://schemas.openxmlformats.org/officeDocument/2006/relationships/hyperlink" Target="https://www.idntimes.com/men/attitude/rekomendasi-tempat-jual-piringan-hitam-c1c2-1-01-w4261-93b395" TargetMode="External"/><Relationship Id="rId427" Type="http://schemas.openxmlformats.org/officeDocument/2006/relationships/hyperlink" Target="https://www.instagram.com/33rpm_" TargetMode="External"/><Relationship Id="rId428" Type="http://schemas.openxmlformats.org/officeDocument/2006/relationships/hyperlink" Target="https://www.google.com/maps/search/?api=1&amp;query=33rpm+Pasar+Santa+Modern+Market%2C+Ground+floor+Blok+AKS+No.+170%2C+Jl.+Cipaku+I%2C+Petogogan%2C+Kebayoran+Baru%2C+Jakarta+Selatan+Indon&#233;sie" TargetMode="External"/><Relationship Id="rId429" Type="http://schemas.openxmlformats.org/officeDocument/2006/relationships/hyperlink" Target="https://www.idntimes.com/men/attitude/rekomendasi-tempat-jual-piringan-hitam-c1c2-1-01-w4261-93b395" TargetMode="External"/><Relationship Id="rId430" Type="http://schemas.openxmlformats.org/officeDocument/2006/relationships/hyperlink" Target="https://www.google.com/maps/search/?api=1&amp;query=Abadi+Records+Jakarta+Indon&#233;sie" TargetMode="External"/><Relationship Id="rId431" Type="http://schemas.openxmlformats.org/officeDocument/2006/relationships/hyperlink" Target="https://mixmag.asia/read/jakarta-the-union-group-presents-union-records-vinyl-pop-up-market-events" TargetMode="External"/><Relationship Id="rId432" Type="http://schemas.openxmlformats.org/officeDocument/2006/relationships/hyperlink" Target="https://www.google.com/maps/search/?api=1&amp;query=Andi+Twins+Music+Blok+M+Square%2C+Basement+B+175%2C+Melawai%2C+Kebayoran+Baru%2C+Jakarta+Selatan+Indon&#233;sie" TargetMode="External"/><Relationship Id="rId433" Type="http://schemas.openxmlformats.org/officeDocument/2006/relationships/hyperlink" Target="https://www.nowjakarta.co.id/?p=7265" TargetMode="External"/><Relationship Id="rId434" Type="http://schemas.openxmlformats.org/officeDocument/2006/relationships/hyperlink" Target="https://www.instagram.com/astharecords" TargetMode="External"/><Relationship Id="rId435" Type="http://schemas.openxmlformats.org/officeDocument/2006/relationships/hyperlink" Target="https://www.google.com/maps/search/?api=1&amp;query=Astha+Records+The+Goods+Dept+PIM+2+%283rd+floor%29+and+Kemang+Village+%28GF%29%3B+Sonaa%2C+Senayan+Park+Indon&#233;sie" TargetMode="External"/><Relationship Id="rId436" Type="http://schemas.openxmlformats.org/officeDocument/2006/relationships/hyperlink" Target="https://www.instagram.com/astharecords/" TargetMode="External"/><Relationship Id="rId437" Type="http://schemas.openxmlformats.org/officeDocument/2006/relationships/hyperlink" Target="https://www.instagram.com/atlas.recordstore" TargetMode="External"/><Relationship Id="rId438" Type="http://schemas.openxmlformats.org/officeDocument/2006/relationships/hyperlink" Target="https://www.google.com/maps/search/?api=1&amp;query=Atlas+Records+Jl.+Kemang+Selatan+VIII+No.+56C%2C+Bangka%2C+Mampang+Prapatan%2C+Jakarta+Selatan+Indon&#233;sie" TargetMode="External"/><Relationship Id="rId439" Type="http://schemas.openxmlformats.org/officeDocument/2006/relationships/hyperlink" Target="https://www.nowjakarta.co.id/?p=7265" TargetMode="External"/><Relationship Id="rId440" Type="http://schemas.openxmlformats.org/officeDocument/2006/relationships/hyperlink" Target="https://www.google.com/maps/search/?api=1&amp;query=Double+Deers+Jl.+Jenggala+II+No.+3%2C+Selong%2C+Kebayoran+Baru%2C+Jakarta+Selatan+Indon&#233;sie" TargetMode="External"/><Relationship Id="rId441" Type="http://schemas.openxmlformats.org/officeDocument/2006/relationships/hyperlink" Target="https://www.nowjakarta.co.id/?p=7265" TargetMode="External"/><Relationship Id="rId442" Type="http://schemas.openxmlformats.org/officeDocument/2006/relationships/hyperlink" Target="https://www.instagram.com/floatingstr_blokm" TargetMode="External"/><Relationship Id="rId443" Type="http://schemas.openxmlformats.org/officeDocument/2006/relationships/hyperlink" Target="https://www.google.com/maps/search/?api=1&amp;query=Floating+Store+Record+Blok+M+Square%2C+Basement+Blok+B+211%2C+Jl.+Melawai%2C+Kebayoran+Baru%2C+Jakarta+Selatan+Indon&#233;sie" TargetMode="External"/><Relationship Id="rId444" Type="http://schemas.openxmlformats.org/officeDocument/2006/relationships/hyperlink" Target="https://www.instagram.com/floatingstr_blokm/" TargetMode="External"/><Relationship Id="rId445" Type="http://schemas.openxmlformats.org/officeDocument/2006/relationships/hyperlink" Target="https://www.instagram.com/gumarangrecordstore" TargetMode="External"/><Relationship Id="rId446" Type="http://schemas.openxmlformats.org/officeDocument/2006/relationships/hyperlink" Target="https://www.idntimes.com/men/attitude/rekomendasi-tempat-jual-piringan-hitam-c1c2-1-01-w4261-93b395" TargetMode="External"/><Relationship Id="rId447" Type="http://schemas.openxmlformats.org/officeDocument/2006/relationships/hyperlink" Target="https://www.google.com/maps/search/?api=1&amp;query=High+Fidelity+Records+Pasar+Santa%2C+Kebayoran+Baru%2C+Jakarta+Selatan+Indon&#233;sie" TargetMode="External"/><Relationship Id="rId448" Type="http://schemas.openxmlformats.org/officeDocument/2006/relationships/hyperlink" Target="https://www.thejakartapost.com/news/2014/12/14/the-rise-independent-record-stores.html" TargetMode="External"/><Relationship Id="rId449" Type="http://schemas.openxmlformats.org/officeDocument/2006/relationships/hyperlink" Target="https://www.google.com/maps/search/?api=1&amp;query=Hysteria+Musik+Blok+M+Square%2C+basement%2C+Jl.+Melawai%2C+Kebayoran+Baru%2C+Jakarta+Selatan+Indon&#233;sie" TargetMode="External"/><Relationship Id="rId450" Type="http://schemas.openxmlformats.org/officeDocument/2006/relationships/hyperlink" Target="https://news.detik.com/intermeso/d-8502511/menemukan-musik-yang-hilang-di-bawah-tanah-blok-m" TargetMode="External"/><Relationship Id="rId451" Type="http://schemas.openxmlformats.org/officeDocument/2006/relationships/hyperlink" Target="https://www.instagram.com/jajankaset" TargetMode="External"/><Relationship Id="rId452" Type="http://schemas.openxmlformats.org/officeDocument/2006/relationships/hyperlink" Target="https://www.google.com/maps/search/?api=1&amp;query=Jajan+Kaset+Record+Store+Komplek+Pakuwon+Blok+GA+No.+6A%2C+Grogol+Petamburan%2C+Jakarta+Barat%3B+and+Santa+Modern+Market+Blok+AKS+No.+122-123%2C+Jakarta+Selatan+Indon&#233;sie" TargetMode="External"/><Relationship Id="rId453" Type="http://schemas.openxmlformats.org/officeDocument/2006/relationships/hyperlink" Target="https://www.instagram.com/jajankaset/" TargetMode="External"/><Relationship Id="rId454" Type="http://schemas.openxmlformats.org/officeDocument/2006/relationships/hyperlink" Target="https://www.instagram.com/kimsvaria" TargetMode="External"/><Relationship Id="rId455" Type="http://schemas.openxmlformats.org/officeDocument/2006/relationships/hyperlink" Target="https://www.google.com/maps/search/?api=1&amp;query=Kims+Varia+Blok+M+Square%2C+Basement+1%2C+Blok+B+No.+196-197%2C+Jl.+Melawai%2C+Kebayoran+Baru%2C+Jakarta+Selatan+Indon&#233;sie" TargetMode="External"/><Relationship Id="rId456" Type="http://schemas.openxmlformats.org/officeDocument/2006/relationships/hyperlink" Target="https://www.nowjakarta.co.id/?p=7265" TargetMode="External"/><Relationship Id="rId457" Type="http://schemas.openxmlformats.org/officeDocument/2006/relationships/hyperlink" Target="https://www.instagram.com/lalarecords.jkt" TargetMode="External"/><Relationship Id="rId458" Type="http://schemas.openxmlformats.org/officeDocument/2006/relationships/hyperlink" Target="https://www.google.com/maps/search/?api=1&amp;query=La-La+Records+Kemang%2C+Jakarta+Selatan+Indon&#233;sie" TargetMode="External"/><Relationship Id="rId459" Type="http://schemas.openxmlformats.org/officeDocument/2006/relationships/hyperlink" Target="https://www.idntimes.com/men/attitude/rekomendasi-tempat-jual-piringan-hitam-c1c2-1-01-w4261-93b395" TargetMode="External"/><Relationship Id="rId460" Type="http://schemas.openxmlformats.org/officeDocument/2006/relationships/hyperlink" Target="https://www.instagram.com/laidbackbluesrecordstore" TargetMode="External"/><Relationship Id="rId461" Type="http://schemas.openxmlformats.org/officeDocument/2006/relationships/hyperlink" Target="https://www.google.com/maps/search/?api=1&amp;query=Laidback+Blues+Record+Store+Pasar+Santa%2C+Jl.+Cipaku+I%2C+Kebayoran+Baru%2C+Jakarta+Selatan+Indon&#233;sie" TargetMode="External"/><Relationship Id="rId462" Type="http://schemas.openxmlformats.org/officeDocument/2006/relationships/hyperlink" Target="https://www.idntimes.com/men/attitude/rekomendasi-tempat-jual-piringan-hitam-c1c2-1-01-w4261-93b395" TargetMode="External"/><Relationship Id="rId463" Type="http://schemas.openxmlformats.org/officeDocument/2006/relationships/hyperlink" Target="https://www.google.com/maps/search/?api=1&amp;query=Lawless+Jakarta+Jakarta+Indon&#233;sie" TargetMode="External"/><Relationship Id="rId464" Type="http://schemas.openxmlformats.org/officeDocument/2006/relationships/hyperlink" Target="https://www.merahputih.com/post/read/record-store-day-indonesia-2024-hadirkan-20-toko-rilisan-fisik" TargetMode="External"/><Relationship Id="rId465" Type="http://schemas.openxmlformats.org/officeDocument/2006/relationships/hyperlink" Target="https://www.google.com/maps/search/?api=1&amp;query=Lian+Records+Jl.+Surabaya+No.+63%2C+Menteng%2C+Jakarta+Pusat+Indon&#233;sie" TargetMode="External"/><Relationship Id="rId466" Type="http://schemas.openxmlformats.org/officeDocument/2006/relationships/hyperlink" Target="https://www.thevinylfactory.com/features/the-worlds-best-record-shops-145-lian-records-jakarta" TargetMode="External"/><Relationship Id="rId467" Type="http://schemas.openxmlformats.org/officeDocument/2006/relationships/hyperlink" Target="https://www.instagram.com/millersrecordsjakarta" TargetMode="External"/><Relationship Id="rId468" Type="http://schemas.openxmlformats.org/officeDocument/2006/relationships/hyperlink" Target="https://www.google.com/maps/search/?api=1&amp;query=Millers+Records+Jakarta+Pasar+Santa%2C+1st+floor+Blok+16-19%2C+Jl.+Cipaku+I%2C+Kebayoran+Baru%2C+Jakarta+Selatan+Indon&#233;sie" TargetMode="External"/><Relationship Id="rId469" Type="http://schemas.openxmlformats.org/officeDocument/2006/relationships/hyperlink" Target="https://www.instagram.com/millersrecordsjakarta/" TargetMode="External"/><Relationship Id="rId470" Type="http://schemas.openxmlformats.org/officeDocument/2006/relationships/hyperlink" Target="https://www.google.com/maps/search/?api=1&amp;query=Monka+Magic+Jl.+Kemang+Raya+No.+8B%2C+Bangka%2C+Mampang+Prapatan%2C+Jakarta+Selatan+Indon&#233;sie" TargetMode="External"/><Relationship Id="rId471" Type="http://schemas.openxmlformats.org/officeDocument/2006/relationships/hyperlink" Target="https://www.nowjakarta.co.id/?p=7265" TargetMode="External"/><Relationship Id="rId472" Type="http://schemas.openxmlformats.org/officeDocument/2006/relationships/hyperlink" Target="https://www.google.com/maps/search/?api=1&amp;query=Musikamar+Blok+M+Square%2C+Basement+No.+165+V%2C+Melawai%2C+Kebayoran+Baru%2C+Jakarta+Selatan+Indon&#233;sie" TargetMode="External"/><Relationship Id="rId473" Type="http://schemas.openxmlformats.org/officeDocument/2006/relationships/hyperlink" Target="https://www.nowjakarta.co.id/?p=7265" TargetMode="External"/><Relationship Id="rId474" Type="http://schemas.openxmlformats.org/officeDocument/2006/relationships/hyperlink" Target="https://www.google.com/maps/search/?api=1&amp;query=Paperpot+Record+Blok+M+Plaza%2C+Jakarta+Selatan+Indon&#233;sie" TargetMode="External"/><Relationship Id="rId475" Type="http://schemas.openxmlformats.org/officeDocument/2006/relationships/hyperlink" Target="https://www.suara.com/foto/2018/09/16/181500/festival-piringan-hitam" TargetMode="External"/><Relationship Id="rId476" Type="http://schemas.openxmlformats.org/officeDocument/2006/relationships/hyperlink" Target="https://piringan-hitam.com/" TargetMode="External"/><Relationship Id="rId477" Type="http://schemas.openxmlformats.org/officeDocument/2006/relationships/hyperlink" Target="https://www.instagram.com/phr.records" TargetMode="External"/><Relationship Id="rId478" Type="http://schemas.openxmlformats.org/officeDocument/2006/relationships/hyperlink" Target="https://www.google.com/maps/search/?api=1&amp;query=PHR+Record+Store+%28Piringan+Hitam+Records%29+STC+Senayan%2C+LG+100A%2C+Jl.+Asia+Afrika%2C+Jakarta%3B+second+outlet+at+Bintaro+Kebayoran+Arcade+2%2C+B1%2F3+Indon&#233;sie" TargetMode="External"/><Relationship Id="rId479" Type="http://schemas.openxmlformats.org/officeDocument/2006/relationships/hyperlink" Target="https://www.instagram.com/phr.records/" TargetMode="External"/><Relationship Id="rId480" Type="http://schemas.openxmlformats.org/officeDocument/2006/relationships/hyperlink" Target="https://www.instagram.com/playlist.record.store" TargetMode="External"/><Relationship Id="rId481" Type="http://schemas.openxmlformats.org/officeDocument/2006/relationships/hyperlink" Target="https://www.google.com/maps/search/?api=1&amp;query=Playlist+Record+Store+Jakarta+Indon&#233;sie" TargetMode="External"/><Relationship Id="rId482" Type="http://schemas.openxmlformats.org/officeDocument/2006/relationships/hyperlink" Target="https://www.instagram.com/playlist.record.store/" TargetMode="External"/><Relationship Id="rId483" Type="http://schemas.openxmlformats.org/officeDocument/2006/relationships/hyperlink" Target="https://www.google.com/maps/search/?api=1&amp;query=Ragtime+Records+Jakarta+Indon&#233;sie" TargetMode="External"/><Relationship Id="rId484" Type="http://schemas.openxmlformats.org/officeDocument/2006/relationships/hyperlink" Target="https://www.nowjakarta.co.id/?p=7265" TargetMode="External"/><Relationship Id="rId485" Type="http://schemas.openxmlformats.org/officeDocument/2006/relationships/hyperlink" Target="https://www.google.com/maps/search/?api=1&amp;query=Substore+Jakarta+Indon&#233;sie" TargetMode="External"/><Relationship Id="rId486" Type="http://schemas.openxmlformats.org/officeDocument/2006/relationships/hyperlink" Target="https://www.nowjakarta.co.id/?p=7265" TargetMode="External"/><Relationship Id="rId487" Type="http://schemas.openxmlformats.org/officeDocument/2006/relationships/hyperlink" Target="https://www.google.com/maps/search/?api=1&amp;query=Vacation+Records+Jakarta+Indon&#233;sie" TargetMode="External"/><Relationship Id="rId488" Type="http://schemas.openxmlformats.org/officeDocument/2006/relationships/hyperlink" Target="https://mixmag.asia/read/jakarta-the-union-group-presents-union-records-vinyl-pop-up-market-events" TargetMode="External"/><Relationship Id="rId489" Type="http://schemas.openxmlformats.org/officeDocument/2006/relationships/hyperlink" Target="https://www.instagram.com/variant.musicstore" TargetMode="External"/><Relationship Id="rId490" Type="http://schemas.openxmlformats.org/officeDocument/2006/relationships/hyperlink" Target="https://www.google.com/maps/search/?api=1&amp;query=Variant+Music+Store+%28Vinyl+Record+Store+Jakarta+ID%29+Blok+M+Square%2C+Basement+unit+B180%2C+Jl.+Melawai%2C+Kebayoran+Baru%2C+Jakarta+Selatan+Indon&#233;sie" TargetMode="External"/><Relationship Id="rId491" Type="http://schemas.openxmlformats.org/officeDocument/2006/relationships/hyperlink" Target="https://www.instagram.com/variant.musicstore/" TargetMode="External"/><Relationship Id="rId492" Type="http://schemas.openxmlformats.org/officeDocument/2006/relationships/hyperlink" Target="https://www.instagram.com/vinylisious_store" TargetMode="External"/><Relationship Id="rId493" Type="http://schemas.openxmlformats.org/officeDocument/2006/relationships/hyperlink" Target="https://www.instagram.com/vinylisious_store/" TargetMode="External"/><Relationship Id="rId494" Type="http://schemas.openxmlformats.org/officeDocument/2006/relationships/hyperlink" Target="https://www.google.com/maps/search/?api=1&amp;query=Warung+Musik+Jakarta+Indon&#233;sie" TargetMode="External"/><Relationship Id="rId495" Type="http://schemas.openxmlformats.org/officeDocument/2006/relationships/hyperlink" Target="https://thump.vice.com/en/article/kbwm4z/is-vinyl-dead-in-indonesia" TargetMode="External"/><Relationship Id="rId496" Type="http://schemas.openxmlformats.org/officeDocument/2006/relationships/hyperlink" Target="https://www.instagram.com/demajors_mlg" TargetMode="External"/><Relationship Id="rId497" Type="http://schemas.openxmlformats.org/officeDocument/2006/relationships/hyperlink" Target="https://www.instagram.com/demajors_mlg/" TargetMode="External"/><Relationship Id="rId498" Type="http://schemas.openxmlformats.org/officeDocument/2006/relationships/hyperlink" Target="https://www.instagram.com/megadisc.id" TargetMode="External"/><Relationship Id="rId499" Type="http://schemas.openxmlformats.org/officeDocument/2006/relationships/hyperlink" Target="https://www.google.com/maps/search/?api=1&amp;query=Mega+Disc+Galeria+Golf+Citraland%2C+Surabaya+Indon&#233;sie" TargetMode="External"/><Relationship Id="rId500" Type="http://schemas.openxmlformats.org/officeDocument/2006/relationships/hyperlink" Target="https://www.instagram.com/megadisc.id/" TargetMode="External"/><Relationship Id="rId501" Type="http://schemas.openxmlformats.org/officeDocument/2006/relationships/hyperlink" Target="https://www.instagram.com/spinnbars.id" TargetMode="External"/><Relationship Id="rId502" Type="http://schemas.openxmlformats.org/officeDocument/2006/relationships/hyperlink" Target="https://www.instagram.com/spinnbars.id/" TargetMode="External"/><Relationship Id="rId503" Type="http://schemas.openxmlformats.org/officeDocument/2006/relationships/hyperlink" Target="https://www.instagram.com/winaudiophile" TargetMode="External"/><Relationship Id="rId504" Type="http://schemas.openxmlformats.org/officeDocument/2006/relationships/hyperlink" Target="https://www.google.com/maps/search/?api=1&amp;query=Win+Audiophile+Pakuwon+Trade+Center%2C+Surabaya+Indon&#233;sie" TargetMode="External"/><Relationship Id="rId505" Type="http://schemas.openxmlformats.org/officeDocument/2006/relationships/hyperlink" Target="https://www.instagram.com/winaudiophile/" TargetMode="External"/><Relationship Id="rId506" Type="http://schemas.openxmlformats.org/officeDocument/2006/relationships/hyperlink" Target="https://www.merahputih.com/post/read/record-store-day-indonesia-2024-hadirkan-20-toko-rilisan-fisik" TargetMode="External"/><Relationship Id="rId507" Type="http://schemas.openxmlformats.org/officeDocument/2006/relationships/hyperlink" Target="https://www.instagram.com/bintarorecords" TargetMode="External"/><Relationship Id="rId508" Type="http://schemas.openxmlformats.org/officeDocument/2006/relationships/hyperlink" Target="https://www.google.com/maps/search/?api=1&amp;query=Bintaro+Record+Store+RUI+Coffee%2C+Taka+House%2C+Bintaro+Sektor+9%2C+Tangerang+Selatan+Indon&#233;sie" TargetMode="External"/><Relationship Id="rId509" Type="http://schemas.openxmlformats.org/officeDocument/2006/relationships/hyperlink" Target="https://www.instagram.com/bintarorecords/" TargetMode="External"/><Relationship Id="rId510" Type="http://schemas.openxmlformats.org/officeDocument/2006/relationships/hyperlink" Target="https://www.google.com/maps/search/?api=1&amp;query=42+Music+Store+Yogyakarta+Indon&#233;sie" TargetMode="External"/><Relationship Id="rId511" Type="http://schemas.openxmlformats.org/officeDocument/2006/relationships/hyperlink" Target="https://www.medcom.id/hiburan/musik/0kpJXw7N-record-store-day-yogyakarta-diisi-perilisan-vinyl-shaggydog-dom-65-dan-zoo" TargetMode="External"/><Relationship Id="rId512" Type="http://schemas.openxmlformats.org/officeDocument/2006/relationships/hyperlink" Target="https://www.google.com/maps/search/?api=1&amp;query=Dcell+Jogja+Store+Panggungharjo%2C+Sewon%2C+Bantul%2C+DI+Yogyakarta+Indon&#233;sie" TargetMode="External"/><Relationship Id="rId513" Type="http://schemas.openxmlformats.org/officeDocument/2006/relationships/hyperlink" Target="https://mojok.co/liputan/sosok/toko-musik-dcell-jogja-store-langganan-gen-z-dan-milenial/" TargetMode="External"/><Relationship Id="rId514" Type="http://schemas.openxmlformats.org/officeDocument/2006/relationships/hyperlink" Target="https://www.google.com/maps/search/?api=1&amp;query=Deep+Store+Yogyakarta+Indon&#233;sie" TargetMode="External"/><Relationship Id="rId515" Type="http://schemas.openxmlformats.org/officeDocument/2006/relationships/hyperlink" Target="https://pustaka.taratsa.id/download/57/pdf/57.pdf" TargetMode="External"/><Relationship Id="rId516" Type="http://schemas.openxmlformats.org/officeDocument/2006/relationships/hyperlink" Target="https://www.instagram.com/malaikatrecords" TargetMode="External"/><Relationship Id="rId517" Type="http://schemas.openxmlformats.org/officeDocument/2006/relationships/hyperlink" Target="https://www.google.com/maps/search/?api=1&amp;query=Malaikat+Records+Yogyakarta+Indon&#233;sie" TargetMode="External"/><Relationship Id="rId518" Type="http://schemas.openxmlformats.org/officeDocument/2006/relationships/hyperlink" Target="https://www.instagram.com/malaikatrecords/" TargetMode="External"/><Relationship Id="rId519" Type="http://schemas.openxmlformats.org/officeDocument/2006/relationships/hyperlink" Target="https://www.instagram.com/mantrino.records" TargetMode="External"/><Relationship Id="rId520" Type="http://schemas.openxmlformats.org/officeDocument/2006/relationships/hyperlink" Target="https://www.google.com/maps/search/?api=1&amp;query=Mantrino+Records+GACA+The+Publik+Haus+%28listed+location%29%2C+Yogyakarta+Indon&#233;sie" TargetMode="External"/><Relationship Id="rId521" Type="http://schemas.openxmlformats.org/officeDocument/2006/relationships/hyperlink" Target="https://www.instagram.com/mantrino.records/" TargetMode="External"/><Relationship Id="rId522" Type="http://schemas.openxmlformats.org/officeDocument/2006/relationships/hyperlink" Target="https://www.google.com/maps/search/?api=1&amp;query=Samstrong+Records+Yogyakarta+Indon&#233;sie" TargetMode="External"/><Relationship Id="rId523" Type="http://schemas.openxmlformats.org/officeDocument/2006/relationships/hyperlink" Target="https://pustaka.taratsa.id/download/57/pdf/57.pdf" TargetMode="External"/><Relationship Id="rId524" Type="http://schemas.openxmlformats.org/officeDocument/2006/relationships/hyperlink" Target="https://www.instagram.com/koleksivinyl" TargetMode="External"/><Relationship Id="rId525" Type="http://schemas.openxmlformats.org/officeDocument/2006/relationships/hyperlink" Target="https://www.instagram.com/koleksivinyl/" TargetMode="External"/><Relationship Id="rId526" Type="http://schemas.openxmlformats.org/officeDocument/2006/relationships/hyperlink" Target="https://www.google.com/maps/search/?api=1&amp;query=Yogya+Music+Store+Yogyakarta+Indon&#233;sie" TargetMode="External"/><Relationship Id="rId527" Type="http://schemas.openxmlformats.org/officeDocument/2006/relationships/hyperlink" Target="https://www.medcom.id/hiburan/musik/0kpJXw7N-record-store-day-yogyakarta-diisi-perilisan-vinyl-shaggydog-dom-65-dan-zoo" TargetMode="External"/><Relationship Id="rId528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randbuffet.in.th/?p=28007" TargetMode="External"/><Relationship Id="rId2" Type="http://schemas.openxmlformats.org/officeDocument/2006/relationships/hyperlink" Target="https://www.google.com/maps/search/?api=1&amp;query=B2S+Nationwide+B2S+bookstore+branches+%28Central+Retail%29+Tha&#239;lande" TargetMode="External"/><Relationship Id="rId3" Type="http://schemas.openxmlformats.org/officeDocument/2006/relationships/hyperlink" Target="https://www.marketingoops.com/?p=290143" TargetMode="External"/><Relationship Id="rId4" Type="http://schemas.openxmlformats.org/officeDocument/2006/relationships/hyperlink" Target="https://www.instagram.com/cardworld.bkk" TargetMode="External"/><Relationship Id="rId5" Type="http://schemas.openxmlformats.org/officeDocument/2006/relationships/hyperlink" Target="https://www.google.com/maps/search/?api=1&amp;query=CARDWORLD+BKK+Slow+Combo+Building%2C+Soi+Chula+50%2C+Pathum+Wan%2C+Bangkok+%28near+MRT+Samyan+Exit+2%29+Tha&#239;lande" TargetMode="External"/><Relationship Id="rId6" Type="http://schemas.openxmlformats.org/officeDocument/2006/relationships/hyperlink" Target="https://tcgtalk.com/guides/tcg-shops-thailand" TargetMode="External"/><Relationship Id="rId7" Type="http://schemas.openxmlformats.org/officeDocument/2006/relationships/hyperlink" Target="https://www.google.com/maps/search/?api=1&amp;query=Nx+Gallery+Wang+Thonglang%2C+Bangkok+%28outlets+near+BTS+Ari%2C+BTS+Phra+Khanong%2C+SC+Plaza+Taling+Chan+per+TCGTalk%29+Tha&#239;lande" TargetMode="External"/><Relationship Id="rId8" Type="http://schemas.openxmlformats.org/officeDocument/2006/relationships/hyperlink" Target="https://tcgtalk.com/guides/tcg-shops-thailand" TargetMode="External"/><Relationship Id="rId9" Type="http://schemas.openxmlformats.org/officeDocument/2006/relationships/hyperlink" Target="https://www.facebook.com/PokemonThailand" TargetMode="External"/><Relationship Id="rId10" Type="http://schemas.openxmlformats.org/officeDocument/2006/relationships/hyperlink" Target="https://www.google.com/maps/search/?api=1&amp;query=Pok&#233;mon+Center+Bangkok+CentralWorld%2C+C604%2F2+Level+6%2C+4%2C+4%2F1-4%2F2%2C+4%2F4+Ratchadamri+Rd%2C+Pathum+Wan%2C+Bangkok+10330+Tha&#239;lande" TargetMode="External"/><Relationship Id="rId11" Type="http://schemas.openxmlformats.org/officeDocument/2006/relationships/hyperlink" Target="https://bulbapedia.bulbagarden.net/wiki/Pok&#233;mon_Center_Bangkok" TargetMode="External"/><Relationship Id="rId12" Type="http://schemas.openxmlformats.org/officeDocument/2006/relationships/hyperlink" Target="https://www.facebook.com/pikatrading.th" TargetMode="External"/><Relationship Id="rId13" Type="http://schemas.openxmlformats.org/officeDocument/2006/relationships/hyperlink" Target="https://www.facebook.com/pikatrading.th/" TargetMode="External"/><Relationship Id="rId14" Type="http://schemas.openxmlformats.org/officeDocument/2006/relationships/hyperlink" Target="https://www.google.com/maps/search/?api=1&amp;query=B2S+Central+Westgate+%28Pok&#233;mon+zone%29+B2S%2C+Central+Westgate%2C+Bang+Yai%2C+Nonthaburi+Tha&#239;lande" TargetMode="External"/><Relationship Id="rId15" Type="http://schemas.openxmlformats.org/officeDocument/2006/relationships/hyperlink" Target="https://www.lemon8-app.com/@pommeptr/7319060185409044994?region=us" TargetMode="External"/><Relationship Id="rId16" Type="http://schemas.openxmlformats.org/officeDocument/2006/relationships/hyperlink" Target="https://www.google.com/maps/search/?api=1&amp;query=Big+Bear+Cards+and+Hobby+Thanya+Park%2C+Srinagarindra+Rd%2C+Suan+Luang%2C+Bangkok+Tha&#239;lande" TargetMode="External"/><Relationship Id="rId17" Type="http://schemas.openxmlformats.org/officeDocument/2006/relationships/hyperlink" Target="https://tcgtalk.com/guides/tcg-shops-thailand" TargetMode="External"/><Relationship Id="rId18" Type="http://schemas.openxmlformats.org/officeDocument/2006/relationships/hyperlink" Target="https://www.instagram.com/nutcard.th" TargetMode="External"/><Relationship Id="rId19" Type="http://schemas.openxmlformats.org/officeDocument/2006/relationships/hyperlink" Target="https://www.facebook.com/NutCardTCG" TargetMode="External"/><Relationship Id="rId20" Type="http://schemas.openxmlformats.org/officeDocument/2006/relationships/hyperlink" Target="https://www.google.com/maps/search/?api=1&amp;query=Nut+Card+Room+A513%2C+5th+Floor%2C+Mega+Plaza+Saphan+Lek+%28Wang+Burapha%29%2C+Maha+Chai+Rd%2C+Phra+Nakhon%2C+Bangkok+Tha&#239;lande" TargetMode="External"/><Relationship Id="rId21" Type="http://schemas.openxmlformats.org/officeDocument/2006/relationships/hyperlink" Target="https://tcgtalk.com/guides/tcg-shops-thailand" TargetMode="External"/><Relationship Id="rId22" Type="http://schemas.openxmlformats.org/officeDocument/2006/relationships/hyperlink" Target="https://www.google.com/maps/search/?api=1&amp;query=Pok&#233;mon+card+booth+at+Mixt+Chatuchak+%28Zone+A%2C+Booth+Y5%29+2nd+Floor%2C+Zone+A%2C+Booth+Y5+%28near+escalator%29%2C+Mixt+Chatuchak%2C+Bangkok+%28near+BTS+Mo+Chit+%2F+MRT+Chatuchak+Park%29+Tha&#239;lande" TargetMode="External"/><Relationship Id="rId23" Type="http://schemas.openxmlformats.org/officeDocument/2006/relationships/hyperlink" Target="https://www.lemon8-app.com/@bearcarecard/7409195085017498128?region=us" TargetMode="External"/><Relationship Id="rId24" Type="http://schemas.openxmlformats.org/officeDocument/2006/relationships/hyperlink" Target="https://vgcardshop.com/" TargetMode="External"/><Relationship Id="rId25" Type="http://schemas.openxmlformats.org/officeDocument/2006/relationships/hyperlink" Target="https://www.facebook.com/vgcardshop" TargetMode="External"/><Relationship Id="rId26" Type="http://schemas.openxmlformats.org/officeDocument/2006/relationships/hyperlink" Target="https://www.google.com/maps/search/?api=1&amp;query=VG+card+shop+3rd+Floor%2C+Room+W3-08%2C+The+Old+Siam+Plaza%2C+Pahurat%2C+Bangkok+Tha&#239;lande" TargetMode="External"/><Relationship Id="rId27" Type="http://schemas.openxmlformats.org/officeDocument/2006/relationships/hyperlink" Target="https://www.facebook.com/vgcardshop/" TargetMode="External"/><Relationship Id="rId28" Type="http://schemas.openxmlformats.org/officeDocument/2006/relationships/hyperlink" Target="https://www.facebook.com/captaincards" TargetMode="External"/><Relationship Id="rId29" Type="http://schemas.openxmlformats.org/officeDocument/2006/relationships/hyperlink" Target="https://www.google.com/maps/search/?api=1&amp;query=CaptainCards+3rd+Floor+%28West+zone%29%2C+Future+Park+Rangsit%2C+Pathum+Thani+Tha&#239;lande" TargetMode="External"/><Relationship Id="rId30" Type="http://schemas.openxmlformats.org/officeDocument/2006/relationships/hyperlink" Target="https://www.facebook.com/captaincards/" TargetMode="External"/><Relationship Id="rId31" Type="http://schemas.openxmlformats.org/officeDocument/2006/relationships/hyperlink" Target="https://www.facebook.com/nxgalleryeast" TargetMode="External"/><Relationship Id="rId32" Type="http://schemas.openxmlformats.org/officeDocument/2006/relationships/hyperlink" Target="https://www.google.com/maps/search/?api=1&amp;query=Nx+Gallery+East+3rd+Floor%2C+Central+Plaza+Rayong+Tha&#239;lande" TargetMode="External"/><Relationship Id="rId33" Type="http://schemas.openxmlformats.org/officeDocument/2006/relationships/hyperlink" Target="https://www.facebook.com/nxgalleryeast/" TargetMode="External"/><Relationship Id="rId34" Type="http://schemas.openxmlformats.org/officeDocument/2006/relationships/hyperlink" Target="https://www.facebook.com/cutieland.bypoko" TargetMode="External"/><Relationship Id="rId35" Type="http://schemas.openxmlformats.org/officeDocument/2006/relationships/hyperlink" Target="https://www.facebook.com/cutieland.bypoko/" TargetMode="External"/><Relationship Id="rId36" Type="http://schemas.openxmlformats.org/officeDocument/2006/relationships/hyperlink" Target="https://www.instagram.com/thai_pkmn" TargetMode="External"/><Relationship Id="rId37" Type="http://schemas.openxmlformats.org/officeDocument/2006/relationships/hyperlink" Target="https://www.instagram.com/thai_pkmn/" TargetMode="External"/><Relationship Id="rId38" Type="http://schemas.openxmlformats.org/officeDocument/2006/relationships/hyperlink" Target="https://www.facebook.com/VictoryCardShop" TargetMode="External"/><Relationship Id="rId39" Type="http://schemas.openxmlformats.org/officeDocument/2006/relationships/hyperlink" Target="https://www.google.com/maps/search/?api=1&amp;query=Victory+Card+Shop+Tha&#239;lande" TargetMode="External"/><Relationship Id="rId40" Type="http://schemas.openxmlformats.org/officeDocument/2006/relationships/hyperlink" Target="https://www.facebook.com/VictoryCardShop/" TargetMode="External"/><Relationship Id="rId41" Type="http://schemas.openxmlformats.org/officeDocument/2006/relationships/hyperlink" Target="https://www.facebook.com/SKC3846" TargetMode="External"/><Relationship Id="rId42" Type="http://schemas.openxmlformats.org/officeDocument/2006/relationships/hyperlink" Target="https://www.google.com/maps/search/?api=1&amp;query=&#3626;&#3627;&#3614;&#3621;&#3585;&#3634;&#3619;&#3585;&#3634;&#3619;&#3660;&#3604;+%28Sahaphon+Card%29+Ayutthaya+Tha&#239;lande" TargetMode="External"/><Relationship Id="rId43" Type="http://schemas.openxmlformats.org/officeDocument/2006/relationships/hyperlink" Target="https://www.facebook.com/SKC3846/" TargetMode="External"/><Relationship Id="rId44" Type="http://schemas.openxmlformats.org/officeDocument/2006/relationships/hyperlink" Target="https://www.google.com/maps/search/?api=1&amp;query=Cardify+2nd+Floor%2C+Soi+Phutthamonthon+Sai+1+%28Buddhamonthon+Lane+1%29%2C+Phasi+Charoen%2C+Bangkok+Tha&#239;lande" TargetMode="External"/><Relationship Id="rId45" Type="http://schemas.openxmlformats.org/officeDocument/2006/relationships/hyperlink" Target="https://tcgtalk.com/guides/tcg-shops-thailand" TargetMode="External"/><Relationship Id="rId46" Type="http://schemas.openxmlformats.org/officeDocument/2006/relationships/hyperlink" Target="https://www.facebook.com/glcardshop" TargetMode="External"/><Relationship Id="rId47" Type="http://schemas.openxmlformats.org/officeDocument/2006/relationships/hyperlink" Target="https://www.google.com/maps/search/?api=1&amp;query=GL+Card+Game+Shop+Soi+Sathorn+11+Yaek+5%2C+opposite+Assumption+College+Primary+Section%2C+Bangkok+Tha&#239;lande" TargetMode="External"/><Relationship Id="rId48" Type="http://schemas.openxmlformats.org/officeDocument/2006/relationships/hyperlink" Target="https://www.facebook.com/glcardshop/" TargetMode="External"/><Relationship Id="rId49" Type="http://schemas.openxmlformats.org/officeDocument/2006/relationships/hyperlink" Target="https://www.instagram.com/novatcg.thailand" TargetMode="External"/><Relationship Id="rId50" Type="http://schemas.openxmlformats.org/officeDocument/2006/relationships/hyperlink" Target="https://www.google.com/maps/search/?api=1&amp;query=Nova+TCG+Thailand+Ram+Inthra+14+area%2C+Bang+Khen%2C+Bangkok+Tha&#239;lande" TargetMode="External"/><Relationship Id="rId51" Type="http://schemas.openxmlformats.org/officeDocument/2006/relationships/hyperlink" Target="https://tcgtalk.com/guides/tcg-shops-thailand" TargetMode="External"/><Relationship Id="rId52" Type="http://schemas.openxmlformats.org/officeDocument/2006/relationships/hyperlink" Target="https://www.facebook.com/ProcardTCG" TargetMode="External"/><Relationship Id="rId53" Type="http://schemas.openxmlformats.org/officeDocument/2006/relationships/hyperlink" Target="https://www.google.com/maps/search/?api=1&amp;query=Pro+Card+5th+Floor%2C+MBK+Center%2C+Pathum+Wan%2C+Bangkok+Tha&#239;lande" TargetMode="External"/><Relationship Id="rId54" Type="http://schemas.openxmlformats.org/officeDocument/2006/relationships/hyperlink" Target="https://www.facebook.com/ProcardTCG/" TargetMode="External"/><Relationship Id="rId55" Type="http://schemas.openxmlformats.org/officeDocument/2006/relationships/hyperlink" Target="https://www.facebook.com/Sedai4.5" TargetMode="External"/><Relationship Id="rId56" Type="http://schemas.openxmlformats.org/officeDocument/2006/relationships/hyperlink" Target="https://www.google.com/maps/search/?api=1&amp;query=Sedai+%28&#3648;&#3595;&#3652;&#3604;%29+Sukhumvit+33%2C+near+BTS+Phrom+Phong%2C+Bangkok+Tha&#239;lande" TargetMode="External"/><Relationship Id="rId57" Type="http://schemas.openxmlformats.org/officeDocument/2006/relationships/hyperlink" Target="https://www.facebook.com/Sedai4.5" TargetMode="External"/><Relationship Id="rId58" Type="http://schemas.openxmlformats.org/officeDocument/2006/relationships/hyperlink" Target="https://www.facebook.com/sitandplay.game" TargetMode="External"/><Relationship Id="rId59" Type="http://schemas.openxmlformats.org/officeDocument/2006/relationships/hyperlink" Target="https://www.google.com/maps/search/?api=1&amp;query=Sit+and+Play+Bangkok+Tha&#239;lande" TargetMode="External"/><Relationship Id="rId60" Type="http://schemas.openxmlformats.org/officeDocument/2006/relationships/hyperlink" Target="https://www.facebook.com/sitandplay.game/" TargetMode="External"/><Relationship Id="rId61" Type="http://schemas.openxmlformats.org/officeDocument/2006/relationships/hyperlink" Target="https://www.facebook.com/TheCardShopTH" TargetMode="External"/><Relationship Id="rId62" Type="http://schemas.openxmlformats.org/officeDocument/2006/relationships/hyperlink" Target="https://www.google.com/maps/search/?api=1&amp;query=The+Card+Shop+Bangkok+Tha&#239;lande" TargetMode="External"/><Relationship Id="rId63" Type="http://schemas.openxmlformats.org/officeDocument/2006/relationships/hyperlink" Target="https://www.facebook.com/TheCardShopTH/" TargetMode="External"/><Relationship Id="rId64" Type="http://schemas.openxmlformats.org/officeDocument/2006/relationships/hyperlink" Target="https://www.facebook.com/tmcardshop" TargetMode="External"/><Relationship Id="rId65" Type="http://schemas.openxmlformats.org/officeDocument/2006/relationships/hyperlink" Target="https://www.google.com/maps/search/?api=1&amp;query=TMshop+TCG+Store+40%2F11+Soi+Sukhumvit+60%2F1%2C+Bang+Chak%2C+Phra+Khanong%2C+Bangkok+Tha&#239;lande" TargetMode="External"/><Relationship Id="rId66" Type="http://schemas.openxmlformats.org/officeDocument/2006/relationships/hyperlink" Target="https://www.facebook.com/tmcardshop/" TargetMode="External"/><Relationship Id="rId67" Type="http://schemas.openxmlformats.org/officeDocument/2006/relationships/hyperlink" Target="https://www.facebook.com/wuwamcardshop" TargetMode="External"/><Relationship Id="rId68" Type="http://schemas.openxmlformats.org/officeDocument/2006/relationships/hyperlink" Target="https://www.google.com/maps/search/?api=1&amp;query=Wuwam+Card+Shop+%28&#3623;&#3641;&#3656;&#3623;&#3634;&#3617;&#3585;&#3634;&#3619;&#3660;&#3604;&#3594;&#3629;&#3611;%29+Room+B236%2C+2nd+Floor%2C+Mega+Plaza+Saphan+Lek%2C+Bangkok+Tha&#239;lande" TargetMode="External"/><Relationship Id="rId69" Type="http://schemas.openxmlformats.org/officeDocument/2006/relationships/hyperlink" Target="https://www.facebook.com/wuwamcardshop/" TargetMode="External"/><Relationship Id="rId70" Type="http://schemas.openxmlformats.org/officeDocument/2006/relationships/hyperlink" Target="https://www.facebook.com/TAMACardBuriram" TargetMode="External"/><Relationship Id="rId71" Type="http://schemas.openxmlformats.org/officeDocument/2006/relationships/hyperlink" Target="https://www.google.com/maps/search/?api=1&amp;query=Tama+Card+Buriram+Tha&#239;lande" TargetMode="External"/><Relationship Id="rId72" Type="http://schemas.openxmlformats.org/officeDocument/2006/relationships/hyperlink" Target="https://www.facebook.com/TAMACardBuriram/" TargetMode="External"/><Relationship Id="rId73" Type="http://schemas.openxmlformats.org/officeDocument/2006/relationships/hyperlink" Target="https://www.instagram.com/pncardgames" TargetMode="External"/><Relationship Id="rId74" Type="http://schemas.openxmlformats.org/officeDocument/2006/relationships/hyperlink" Target="https://www.facebook.com/PNCardGames" TargetMode="External"/><Relationship Id="rId75" Type="http://schemas.openxmlformats.org/officeDocument/2006/relationships/hyperlink" Target="https://www.google.com/maps/search/?api=1&amp;query=P%27N+Card+Games+Shop+Soi+7%2C+behind+Chiang+Mai+University+%28near+the+Faculty+of+Engineering+gate%29%2C+Chiang+Mai+Tha&#239;lande" TargetMode="External"/><Relationship Id="rId76" Type="http://schemas.openxmlformats.org/officeDocument/2006/relationships/hyperlink" Target="https://www.instagram.com/pncardgames/" TargetMode="External"/><Relationship Id="rId77" Type="http://schemas.openxmlformats.org/officeDocument/2006/relationships/hyperlink" Target="https://www.facebook.com/nkcardhatyai" TargetMode="External"/><Relationship Id="rId78" Type="http://schemas.openxmlformats.org/officeDocument/2006/relationships/hyperlink" Target="https://www.google.com/maps/search/?api=1&amp;query=NK+Card+Hatyai+Hat+Yai+Tha&#239;lande" TargetMode="External"/><Relationship Id="rId79" Type="http://schemas.openxmlformats.org/officeDocument/2006/relationships/hyperlink" Target="https://www.facebook.com/nkcardhatyai/" TargetMode="External"/><Relationship Id="rId80" Type="http://schemas.openxmlformats.org/officeDocument/2006/relationships/hyperlink" Target="https://www.google.com/maps/search/?api=1&amp;query=Pok&#233;Core+Hua-Hin+TCG+Shop.TH+Near+Central+Hua+Hin%2C+opposite+Wat+Hua+Hin%2C+Prachuap+Khiri+Khan+Tha&#239;lande" TargetMode="External"/><Relationship Id="rId81" Type="http://schemas.openxmlformats.org/officeDocument/2006/relationships/hyperlink" Target="https://tcgtalk.com/guides/tcg-shops-thailand" TargetMode="External"/><Relationship Id="rId82" Type="http://schemas.openxmlformats.org/officeDocument/2006/relationships/hyperlink" Target="https://www.facebook.com/DonburiShopkhonkaen" TargetMode="External"/><Relationship Id="rId83" Type="http://schemas.openxmlformats.org/officeDocument/2006/relationships/hyperlink" Target="https://www.google.com/maps/search/?api=1&amp;query=DonburiShop+TCG+KK+Khon+Kaen+Tha&#239;lande" TargetMode="External"/><Relationship Id="rId84" Type="http://schemas.openxmlformats.org/officeDocument/2006/relationships/hyperlink" Target="https://www.facebook.com/DonburiShopkhonkaen" TargetMode="External"/><Relationship Id="rId85" Type="http://schemas.openxmlformats.org/officeDocument/2006/relationships/hyperlink" Target="https://www.facebook.com/p/Iconic-Trading-card-game-61576280130672" TargetMode="External"/><Relationship Id="rId86" Type="http://schemas.openxmlformats.org/officeDocument/2006/relationships/hyperlink" Target="https://www.facebook.com/p/Iconic-Trading-card-game-61576280130672/" TargetMode="External"/><Relationship Id="rId87" Type="http://schemas.openxmlformats.org/officeDocument/2006/relationships/hyperlink" Target="https://www.facebook.com/TrickRoomCardShop" TargetMode="External"/><Relationship Id="rId88" Type="http://schemas.openxmlformats.org/officeDocument/2006/relationships/hyperlink" Target="https://www.google.com/maps/search/?api=1&amp;query=Trick+Room+%28Trick+Room+Card+Shop%29+4th+Floor%2C+Central+Korat%2C+Nakhon+Ratchasima+Tha&#239;lande" TargetMode="External"/><Relationship Id="rId89" Type="http://schemas.openxmlformats.org/officeDocument/2006/relationships/hyperlink" Target="https://www.facebook.com/TrickRoomCardShop/" TargetMode="External"/><Relationship Id="rId90" Type="http://schemas.openxmlformats.org/officeDocument/2006/relationships/hyperlink" Target="https://www.facebook.com/p/D-day-card-100063579728865" TargetMode="External"/><Relationship Id="rId91" Type="http://schemas.openxmlformats.org/officeDocument/2006/relationships/hyperlink" Target="https://www.google.com/maps/search/?api=1&amp;query=D+day+card+20%2F198-199+Moo+10%2C+Soi+Day+Night%2C+Pattaya+Tai+Rd+%28next+to+Tuk+Com+Pattaya+South%29%2C+Nong+Prue%2C+Bang+Lamung%2C+Chonburi+Tha&#239;lande" TargetMode="External"/><Relationship Id="rId92" Type="http://schemas.openxmlformats.org/officeDocument/2006/relationships/hyperlink" Target="https://www.facebook.com/p/D-day-card-100063579728865/" TargetMode="External"/><Relationship Id="rId93" Type="http://schemas.openxmlformats.org/officeDocument/2006/relationships/hyperlink" Target="https://www.facebook.com/p/TCGIgnition-100079263833060" TargetMode="External"/><Relationship Id="rId94" Type="http://schemas.openxmlformats.org/officeDocument/2006/relationships/hyperlink" Target="https://www.google.com/maps/search/?api=1&amp;query=TCGIgnition+369%2F90+Yaowarat+Rd+%28Soi+Yaowarat+5%29%2C+Talat+Yai%2C+Mueang+Phuket+Tha&#239;lande" TargetMode="External"/><Relationship Id="rId95" Type="http://schemas.openxmlformats.org/officeDocument/2006/relationships/hyperlink" Target="https://www.facebook.com/p/TCGIgnition-100079263833060/" TargetMode="External"/><Relationship Id="rId96" Type="http://schemas.openxmlformats.org/officeDocument/2006/relationships/hyperlink" Target="https://www.facebook.com/p/BLACK-CARD-TCG-61583179858522" TargetMode="External"/><Relationship Id="rId97" Type="http://schemas.openxmlformats.org/officeDocument/2006/relationships/hyperlink" Target="https://www.google.com/maps/search/?api=1&amp;query=BLACK+CARD+TCG+Moo+3%2C+Pak+Raet%2C+Ban+Pong%2C+Ratchaburi+%28event+post+also+references+Always+One+Plaza+5th+Fl%2C+Bangkok%29+Tha&#239;lande" TargetMode="External"/><Relationship Id="rId98" Type="http://schemas.openxmlformats.org/officeDocument/2006/relationships/hyperlink" Target="https://www.facebook.com/p/BLACK-CARD-TCG-61583179858522/" TargetMode="External"/><Relationship Id="rId99" Type="http://schemas.openxmlformats.org/officeDocument/2006/relationships/hyperlink" Target="https://www.facebook.com/BooMCardGames" TargetMode="External"/><Relationship Id="rId100" Type="http://schemas.openxmlformats.org/officeDocument/2006/relationships/hyperlink" Target="https://www.google.com/maps/search/?api=1&amp;query=BooM+Card+Games+Sri+Chaiya+Rd%2C+Talat%2C+Mueang+Surat+Thani+Tha&#239;lande" TargetMode="External"/><Relationship Id="rId101" Type="http://schemas.openxmlformats.org/officeDocument/2006/relationships/hyperlink" Target="https://www.facebook.com/BooMCardGames/" TargetMode="External"/><Relationship Id="rId102" Type="http://schemas.openxmlformats.org/officeDocument/2006/relationships/hyperlink" Target="https://www.facebook.com/p/AE-&#3610;&#3640;&#3658;&#3588;-&#3649;&#3629;&#3609;&#3604;&#3660;-&#3585;&#3634;&#3619;&#3660;&#3604;-100083350831800" TargetMode="External"/><Relationship Id="rId103" Type="http://schemas.openxmlformats.org/officeDocument/2006/relationships/hyperlink" Target="https://www.google.com/maps/search/?api=1&amp;query=A%26E+&#3610;&#3640;&#3658;&#3588;+&#3649;&#3629;&#3609;&#3604;&#3660;+&#3585;&#3634;&#3619;&#3660;&#3604;+%28A%26E+Book+and+Card%29+Tha&#239;lande" TargetMode="External"/><Relationship Id="rId104" Type="http://schemas.openxmlformats.org/officeDocument/2006/relationships/hyperlink" Target="https://www.facebook.com/p/AE-&#3610;&#3640;&#3658;&#3588;-&#3649;&#3629;&#3609;&#3604;&#3660;-&#3585;&#3634;&#3619;&#3660;&#3604;-100083350831800/" TargetMode="External"/><Relationship Id="rId105" Type="http://schemas.openxmlformats.org/officeDocument/2006/relationships/hyperlink" Target="https://www.facebook.com/p/ANNA-SHOP-100063683825022" TargetMode="External"/><Relationship Id="rId106" Type="http://schemas.openxmlformats.org/officeDocument/2006/relationships/hyperlink" Target="https://www.facebook.com/p/ANNA-SHOP-100063683825022/" TargetMode="External"/><Relationship Id="rId107" Type="http://schemas.openxmlformats.org/officeDocument/2006/relationships/hyperlink" Target="https://www.facebook.com/pongpan.nookeaw" TargetMode="External"/><Relationship Id="rId108" Type="http://schemas.openxmlformats.org/officeDocument/2006/relationships/hyperlink" Target="https://www.facebook.com/pongpan.nookeaw/" TargetMode="External"/><Relationship Id="rId109" Type="http://schemas.openxmlformats.org/officeDocument/2006/relationships/hyperlink" Target="https://www.facebook.com/MornorCardClub" TargetMode="External"/><Relationship Id="rId110" Type="http://schemas.openxmlformats.org/officeDocument/2006/relationships/hyperlink" Target="https://www.google.com/maps/search/?api=1&amp;query=&#3617;&#3629;&#3609;&#3629;+Card+Club+%28Mornor+Card+Club%29+Tha&#239;lande" TargetMode="External"/><Relationship Id="rId111" Type="http://schemas.openxmlformats.org/officeDocument/2006/relationships/hyperlink" Target="https://www.facebook.com/MornorCardClub" TargetMode="External"/><Relationship Id="rId112" Type="http://schemas.openxmlformats.org/officeDocument/2006/relationships/hyperlink" Target="https://www.facebook.com/SUPARBTOY" TargetMode="External"/><Relationship Id="rId113" Type="http://schemas.openxmlformats.org/officeDocument/2006/relationships/hyperlink" Target="https://www.facebook.com/SUPARBTOY/" TargetMode="External"/><Relationship Id="rId114" Type="http://schemas.openxmlformats.org/officeDocument/2006/relationships/hyperlink" Target="https://www.google.com/maps/search/?api=1&amp;query=Cardmaster+Bangkok+Tha&#239;lande" TargetMode="External"/><Relationship Id="rId115" Type="http://schemas.openxmlformats.org/officeDocument/2006/relationships/hyperlink" Target="https://tcgtalk.com/guides/thailand/abyss-eye-pull-rates-box-opening-guide" TargetMode="External"/><Relationship Id="rId116" Type="http://schemas.openxmlformats.org/officeDocument/2006/relationships/hyperlink" Target="https://www.google.com/maps/search/?api=1&amp;query=Gamebox+Bangkok+Tha&#239;lande" TargetMode="External"/><Relationship Id="rId117" Type="http://schemas.openxmlformats.org/officeDocument/2006/relationships/hyperlink" Target="https://tcgtalk.com/guides/thailand/abyss-eye-pull-rates-box-opening-guide" TargetMode="External"/><Relationship Id="rId118" Type="http://schemas.openxmlformats.org/officeDocument/2006/relationships/hyperlink" Target="https://www.instagram.com/bangkokcardshow" TargetMode="External"/><Relationship Id="rId119" Type="http://schemas.openxmlformats.org/officeDocument/2006/relationships/hyperlink" Target="https://www.facebook.com/bkkcardshow" TargetMode="External"/><Relationship Id="rId120" Type="http://schemas.openxmlformats.org/officeDocument/2006/relationships/hyperlink" Target="https://www.google.com/maps/search/?api=1&amp;query=The+Cardster+%28Bangkok+International+Card+Show%29+Shows+at+Samyan+Mitrtown+Hall+1-2%2C+Bangkok+%2817-18+Oct+2026%29+and+QSNCC+%286-7+Mar+2027+edition%29+Tha&#239;lande" TargetMode="External"/><Relationship Id="rId121" Type="http://schemas.openxmlformats.org/officeDocument/2006/relationships/hyperlink" Target="https://tcgtalk.com/guides/thailand-pokemon-tradeshows-2026" TargetMode="External"/><Relationship Id="rId122" Type="http://schemas.openxmlformats.org/officeDocument/2006/relationships/hyperlink" Target="https://nintcg.com/" TargetMode="External"/><Relationship Id="rId123" Type="http://schemas.openxmlformats.org/officeDocument/2006/relationships/hyperlink" Target="https://www.google.com/maps/search/?api=1&amp;query=NIN+TCG+%28NINTCG%29+S&#7889;+51+Ng&#245;+Th&#7883;nh+H&#224;o+1%2C+&#272;&#7889;ng+&#272;a%3B+4-F5+Ng&#245;+171+Th&#225;i+H&#224;%2C+&#272;&#7889;ng+&#272;a+Vietnam" TargetMode="External"/><Relationship Id="rId124" Type="http://schemas.openxmlformats.org/officeDocument/2006/relationships/hyperlink" Target="https://tcgtalk.com/guides/tcg-shops-vietnam" TargetMode="External"/><Relationship Id="rId125" Type="http://schemas.openxmlformats.org/officeDocument/2006/relationships/hyperlink" Target="https://nshop.com.vn/" TargetMode="External"/><Relationship Id="rId126" Type="http://schemas.openxmlformats.org/officeDocument/2006/relationships/hyperlink" Target="https://www.google.com/maps/search/?api=1&amp;query=nShop+Branches%3A+239+Tr&#7847;n+Quang+Kh&#7843;i+Q1%3B+66+Th&#224;nh+Th&#225;i+Q10%3B+Parc+Mall+549+T&#7841;+Quang+B&#7917;u+Q8+%283F%29%3B+AEON+Mall+T&#226;n+Ph&#250;+Celadon+%282F%29%3B+Sunrise+Plaza+27+Nguy&#7877;n+H&#7919;u+Th&#7885;+Q7+Vietnam" TargetMode="External"/><Relationship Id="rId127" Type="http://schemas.openxmlformats.org/officeDocument/2006/relationships/hyperlink" Target="https://tcgtalk.com/guides/tcg-shops-vietnam" TargetMode="External"/><Relationship Id="rId128" Type="http://schemas.openxmlformats.org/officeDocument/2006/relationships/hyperlink" Target="https://www.google.com/maps/search/?api=1&amp;query=Zeni+Card+Central+L&#7847;u+3%2C+772+S&#432;+V&#7841;n+H&#7841;nh%2C+Qu&#7853;n+10+%28second+branch+in+Qu&#7853;n+4%29+Vietnam" TargetMode="External"/><Relationship Id="rId129" Type="http://schemas.openxmlformats.org/officeDocument/2006/relationships/hyperlink" Target="https://tcgtalk.com/blog/chaos-rising-pokemon-vietnam-guide-1777992511431" TargetMode="External"/><Relationship Id="rId130" Type="http://schemas.openxmlformats.org/officeDocument/2006/relationships/hyperlink" Target="https://www.google.com/maps/search/?api=1&amp;query=IPP+Travel+Retail+%28Duy+Anh+Trading+JSC%29+-+airport+Pok&#233;mon+TCG+stores+Airport+stores%3A+Tan+Son+Nhat+%28HCMC%29%2C+Noi+Bai+%28Hanoi%29%2C+Da+Nang%2C+Cam+Ranh%2C+Phu+Quoc+Vietnam" TargetMode="External"/><Relationship Id="rId131" Type="http://schemas.openxmlformats.org/officeDocument/2006/relationships/hyperlink" Target="https://moodiedavittreport.com/trinity-forum-host-ipp-travel-retail-brings-pokemon-trade-card-game-to-vietnamese-airports/" TargetMode="External"/><Relationship Id="rId132" Type="http://schemas.openxmlformats.org/officeDocument/2006/relationships/hyperlink" Target="https://bulbashop.com/" TargetMode="External"/><Relationship Id="rId133" Type="http://schemas.openxmlformats.org/officeDocument/2006/relationships/hyperlink" Target="https://www.facebook.com/bulbashop" TargetMode="External"/><Relationship Id="rId134" Type="http://schemas.openxmlformats.org/officeDocument/2006/relationships/hyperlink" Target="https://www.google.com/maps/search/?api=1&amp;query=BulbaShop+251+Tr&#7847;n+&#272;&#259;ng+Ninh%2C+D&#7883;ch+V&#7885;ng%2C+C&#7847;u+Gi&#7845;y+Vietnam" TargetMode="External"/><Relationship Id="rId135" Type="http://schemas.openxmlformats.org/officeDocument/2006/relationships/hyperlink" Target="https://tcgtalk.com/guides/tcg-shops-vietnam" TargetMode="External"/><Relationship Id="rId136" Type="http://schemas.openxmlformats.org/officeDocument/2006/relationships/hyperlink" Target="https://www.facebook.com/mysticcreww" TargetMode="External"/><Relationship Id="rId137" Type="http://schemas.openxmlformats.org/officeDocument/2006/relationships/hyperlink" Target="https://www.google.com/maps/search/?api=1&amp;query=Mystic+Crew+TCG+T&#7847;ng+4%2C+S&#7889;+10+Tr&#7847;n+T&#7917;+B&#236;nh%2C+Ngh&#297;a+T&#226;n%2C+C&#7847;u+Gi&#7845;y+%28TCGTalk+guide+also+lists+106+Ho&#224;ng+Qu&#7889;c+Vi&#7879;t%29+Vietnam" TargetMode="External"/><Relationship Id="rId138" Type="http://schemas.openxmlformats.org/officeDocument/2006/relationships/hyperlink" Target="https://www.facebook.com/mysticcreww/" TargetMode="External"/><Relationship Id="rId139" Type="http://schemas.openxmlformats.org/officeDocument/2006/relationships/hyperlink" Target="https://www.facebook.com/hobbycenter.vn" TargetMode="External"/><Relationship Id="rId140" Type="http://schemas.openxmlformats.org/officeDocument/2006/relationships/hyperlink" Target="https://www.google.com/maps/search/?api=1&amp;query=Hobby+Center+262%2F20+L&#7841;c+Long+Qu&#226;n%2C+Qu&#7853;n+11+Vietnam" TargetMode="External"/><Relationship Id="rId141" Type="http://schemas.openxmlformats.org/officeDocument/2006/relationships/hyperlink" Target="https://tcgtalk.com/guides/tcg-shops-vietnam" TargetMode="External"/><Relationship Id="rId142" Type="http://schemas.openxmlformats.org/officeDocument/2006/relationships/hyperlink" Target="https://www.google.com/maps/search/?api=1&amp;query=MetroTCG+Ho+Chi+Minh+City+Vietnam" TargetMode="External"/><Relationship Id="rId143" Type="http://schemas.openxmlformats.org/officeDocument/2006/relationships/hyperlink" Target="https://vn.linkedin.com/in/tonyphamvn" TargetMode="External"/><Relationship Id="rId144" Type="http://schemas.openxmlformats.org/officeDocument/2006/relationships/hyperlink" Target="https://www.google.com/maps/search/?api=1&amp;query=PokeHub+TCG+45+Nguy&#7877;n+Th&#432;&#7907;ng+Hi&#7873;n%2C+B&#236;nh+Th&#7841;nh+%28address+flagged+unverified+by+TCGTalk%29+Vietnam" TargetMode="External"/><Relationship Id="rId145" Type="http://schemas.openxmlformats.org/officeDocument/2006/relationships/hyperlink" Target="https://tcgtalk.com/guides/tcg-shops-vietnam" TargetMode="External"/><Relationship Id="rId146" Type="http://schemas.openxmlformats.org/officeDocument/2006/relationships/hyperlink" Target="https://www.facebook.com/PTCGCanTho" TargetMode="External"/><Relationship Id="rId147" Type="http://schemas.openxmlformats.org/officeDocument/2006/relationships/hyperlink" Target="https://www.facebook.com/PTCGCanTho/" TargetMode="External"/><Relationship Id="rId148" Type="http://schemas.openxmlformats.org/officeDocument/2006/relationships/hyperlink" Target="https://www.facebook.com/people/C&#225;-TCG-&#272;&#224;-N&#7861;ng/61570874096731" TargetMode="External"/><Relationship Id="rId149" Type="http://schemas.openxmlformats.org/officeDocument/2006/relationships/hyperlink" Target="https://www.facebook.com/people/C&#225;-TCG-&#272;&#224;-N&#7861;ng/61570874096731/" TargetMode="External"/><Relationship Id="rId150" Type="http://schemas.openxmlformats.org/officeDocument/2006/relationships/hyperlink" Target="https://kawaikulture.vn/" TargetMode="External"/><Relationship Id="rId151" Type="http://schemas.openxmlformats.org/officeDocument/2006/relationships/hyperlink" Target="https://www.facebook.com/kawaiikulturedn" TargetMode="External"/><Relationship Id="rId152" Type="http://schemas.openxmlformats.org/officeDocument/2006/relationships/hyperlink" Target="https://www.google.com/maps/search/?api=1&amp;query=Kawaii+Kulture+21+&#272;&#7847;m+Rong+1%2C+Ph&#432;&#7901;ng+Thu&#7853;n+Ph&#432;&#7899;c%2C+H&#7843;i+Ch&#226;u%2C+&#272;&#224;+N&#7861;ng+Vietnam" TargetMode="External"/><Relationship Id="rId153" Type="http://schemas.openxmlformats.org/officeDocument/2006/relationships/hyperlink" Target="https://www.facebook.com/kawaiikulturedn/" TargetMode="External"/><Relationship Id="rId154" Type="http://schemas.openxmlformats.org/officeDocument/2006/relationships/hyperlink" Target="https://pokecorner.vn/" TargetMode="External"/><Relationship Id="rId155" Type="http://schemas.openxmlformats.org/officeDocument/2006/relationships/hyperlink" Target="https://www.facebook.com/pokecornershop" TargetMode="External"/><Relationship Id="rId156" Type="http://schemas.openxmlformats.org/officeDocument/2006/relationships/hyperlink" Target="https://www.google.com/maps/search/?api=1&amp;query=PokeCorner+H&#7867;m+60+L&#253;+Ch&#237;nh+Th&#7855;ng+Vietnam" TargetMode="External"/><Relationship Id="rId157" Type="http://schemas.openxmlformats.org/officeDocument/2006/relationships/hyperlink" Target="https://www.facebook.com/pokecornershop/" TargetMode="External"/><Relationship Id="rId158" Type="http://schemas.openxmlformats.org/officeDocument/2006/relationships/hyperlink" Target="https://www.facebook.com/p/Kichi-TCG-61575859491723" TargetMode="External"/><Relationship Id="rId159" Type="http://schemas.openxmlformats.org/officeDocument/2006/relationships/hyperlink" Target="https://www.facebook.com/p/Kichi-TCG-61575859491723/" TargetMode="External"/><Relationship Id="rId160" Type="http://schemas.openxmlformats.org/officeDocument/2006/relationships/hyperlink" Target="https://www.tiktok.com/@pokemontcgviet" TargetMode="External"/><Relationship Id="rId161" Type="http://schemas.openxmlformats.org/officeDocument/2006/relationships/hyperlink" Target="https://www.tiktok.com/@pokemontcgviet/video/7264878797223185665" TargetMode="External"/><Relationship Id="rId162" Type="http://schemas.openxmlformats.org/officeDocument/2006/relationships/hyperlink" Target="https://www.facebook.com/Pokepoketcg" TargetMode="External"/><Relationship Id="rId163" Type="http://schemas.openxmlformats.org/officeDocument/2006/relationships/hyperlink" Target="https://www.facebook.com/Pokepoketcg/" TargetMode="External"/><Relationship Id="rId164" Type="http://schemas.openxmlformats.org/officeDocument/2006/relationships/hyperlink" Target="https://www.facebook.com/Pokioh.shop" TargetMode="External"/><Relationship Id="rId165" Type="http://schemas.openxmlformats.org/officeDocument/2006/relationships/hyperlink" Target="https://www.facebook.com/Pokioh.shop/" TargetMode="External"/><Relationship Id="rId166" Type="http://schemas.openxmlformats.org/officeDocument/2006/relationships/hyperlink" Target="https://pokemontcg.vn/" TargetMode="External"/><Relationship Id="rId167" Type="http://schemas.openxmlformats.org/officeDocument/2006/relationships/hyperlink" Target="https://www.facebook.com/PokemonTCGVN" TargetMode="External"/><Relationship Id="rId168" Type="http://schemas.openxmlformats.org/officeDocument/2006/relationships/hyperlink" Target="https://www.facebook.com/PokemonTCGVN/" TargetMode="External"/><Relationship Id="rId169" Type="http://schemas.openxmlformats.org/officeDocument/2006/relationships/hyperlink" Target="https://pokestore.vn/" TargetMode="External"/><Relationship Id="rId170" Type="http://schemas.openxmlformats.org/officeDocument/2006/relationships/hyperlink" Target="https://www.facebook.com/PokeStoreVN" TargetMode="External"/><Relationship Id="rId171" Type="http://schemas.openxmlformats.org/officeDocument/2006/relationships/hyperlink" Target="https://www.facebook.com/PokeStoreVN" TargetMode="External"/><Relationship Id="rId172" Type="http://schemas.openxmlformats.org/officeDocument/2006/relationships/hyperlink" Target="https://www.google.com/maps/search/?api=1&amp;query=GG+Coffee+15G+B&#249;i+Ng&#7885;c+D&#432;&#417;ng%2C+H&#224;+N&#7897;i+Vietnam" TargetMode="External"/><Relationship Id="rId173" Type="http://schemas.openxmlformats.org/officeDocument/2006/relationships/hyperlink" Target="https://tcgtalk.com/guides/tcg-shops-vietnam" TargetMode="External"/><Relationship Id="rId174" Type="http://schemas.openxmlformats.org/officeDocument/2006/relationships/hyperlink" Target="https://www.google.com/maps/search/?api=1&amp;query=Hero+Game+H&#224;+N&#7897;i+20+P.+Ng&#7885;c+Kh&#225;nh%2C+Gi&#7843;ng+V&#245;%2C+Ba+&#272;&#236;nh+Vietnam" TargetMode="External"/><Relationship Id="rId175" Type="http://schemas.openxmlformats.org/officeDocument/2006/relationships/hyperlink" Target="https://tcgtalk.com/guides/tcg-shops-vietnam" TargetMode="External"/><Relationship Id="rId176" Type="http://schemas.openxmlformats.org/officeDocument/2006/relationships/hyperlink" Target="https://www.facebook.com/shoptcgsg" TargetMode="External"/><Relationship Id="rId177" Type="http://schemas.openxmlformats.org/officeDocument/2006/relationships/hyperlink" Target="https://www.google.com/maps/search/?api=1&amp;query=Cardlab+L&#7847;u+2%2C+42+T&#244;n+Th&#7845;t+Thi&#7879;p%2C+B&#7871;n+Ngh&#233;%2C+Qu&#7853;n+1+Vietnam" TargetMode="External"/><Relationship Id="rId178" Type="http://schemas.openxmlformats.org/officeDocument/2006/relationships/hyperlink" Target="https://tcgtalk.com/guides/tcg-shops-vietnam" TargetMode="External"/><Relationship Id="rId179" Type="http://schemas.openxmlformats.org/officeDocument/2006/relationships/hyperlink" Target="https://www.google.com/maps/search/?api=1&amp;query=GameStop+Vi&#7879;t+Nam+1061+Ph&#7841;m+V&#259;n+&#272;&#7891;ng%2C+Ph&#432;&#7901;ng+Linh+T&#226;y%2C+TP.+Th&#7911;+&#272;&#7913;c+Vietnam" TargetMode="External"/><Relationship Id="rId180" Type="http://schemas.openxmlformats.org/officeDocument/2006/relationships/hyperlink" Target="https://www.tumblr.com/gamestopvn" TargetMode="External"/><Relationship Id="rId181" Type="http://schemas.openxmlformats.org/officeDocument/2006/relationships/hyperlink" Target="https://www.google.com/maps/search/?api=1&amp;query=Geeky+Mart+LGS+Th&#7843;o+&#272;i&#7873;n+area%2C+TP.+Th&#7911;+&#272;&#7913;c+%28exact+address+unconfirmed%29+Vietnam" TargetMode="External"/><Relationship Id="rId182" Type="http://schemas.openxmlformats.org/officeDocument/2006/relationships/hyperlink" Target="https://tcgtalk.com/guides/tcg-shops-vietnam" TargetMode="External"/><Relationship Id="rId183" Type="http://schemas.openxmlformats.org/officeDocument/2006/relationships/hyperlink" Target="https://www.google.com/maps/search/?api=1&amp;query=Herogame+HCM+200+Nguy&#7877;n+Tr&#7885;ng+Tuy&#7875;n%2C+Ph&#432;&#7901;ng+8%2C+Ph&#250;+Nhu&#7853;n+Vietnam" TargetMode="External"/><Relationship Id="rId184" Type="http://schemas.openxmlformats.org/officeDocument/2006/relationships/hyperlink" Target="https://tcgtalk.com/guides/tcg-shops-vietnam" TargetMode="External"/><Relationship Id="rId185" Type="http://schemas.openxmlformats.org/officeDocument/2006/relationships/hyperlink" Target="https://www.google.com/maps/search/?api=1&amp;query=HypecaT+280%2F70%2F11+B&#249;i+H&#7919;u+Ngh&#297;a%2C+Ph&#432;&#7901;ng+2%2C+B&#236;nh+Th&#7841;nh+Vietnam" TargetMode="External"/><Relationship Id="rId186" Type="http://schemas.openxmlformats.org/officeDocument/2006/relationships/hyperlink" Target="https://tcgtalk.com/guides/tcg-shops-vietnam" TargetMode="External"/><Relationship Id="rId187" Type="http://schemas.openxmlformats.org/officeDocument/2006/relationships/hyperlink" Target="https://pro.m2duelstore.com/" TargetMode="External"/><Relationship Id="rId188" Type="http://schemas.openxmlformats.org/officeDocument/2006/relationships/hyperlink" Target="https://www.facebook.com/M2duelstore" TargetMode="External"/><Relationship Id="rId189" Type="http://schemas.openxmlformats.org/officeDocument/2006/relationships/hyperlink" Target="https://www.google.com/maps/search/?api=1&amp;query=M2+DUEL+Store+Ho+Chi+Minh+City+Vietnam" TargetMode="External"/><Relationship Id="rId190" Type="http://schemas.openxmlformats.org/officeDocument/2006/relationships/hyperlink" Target="https://www.facebook.com/M2duelstore/" TargetMode="External"/><Relationship Id="rId191" Type="http://schemas.openxmlformats.org/officeDocument/2006/relationships/hyperlink" Target="https://www.facebook.com/SaigonCollectibles.vn" TargetMode="External"/><Relationship Id="rId192" Type="http://schemas.openxmlformats.org/officeDocument/2006/relationships/hyperlink" Target="https://www.google.com/maps/search/?api=1&amp;query=SaiGon+Collectibles+105+Nguy&#7877;n+Du%2C+Qu&#7853;n+1+Vietnam" TargetMode="External"/><Relationship Id="rId193" Type="http://schemas.openxmlformats.org/officeDocument/2006/relationships/hyperlink" Target="https://tcgtalk.com/guides/tcg-shops-vietnam" TargetMode="External"/><Relationship Id="rId194" Type="http://schemas.openxmlformats.org/officeDocument/2006/relationships/hyperlink" Target="https://www.google.com/maps/search/?api=1&amp;query=Saigon+TCG+%28Saigon+Trading+Card+Games%29+Ho+Chi+Minh+City+Vietnam" TargetMode="External"/><Relationship Id="rId195" Type="http://schemas.openxmlformats.org/officeDocument/2006/relationships/hyperlink" Target="https://tcgtalk.com/blog/chaos-rising-pokemon-vietnam-guide-1777992511431" TargetMode="External"/><Relationship Id="rId196" Type="http://schemas.openxmlformats.org/officeDocument/2006/relationships/hyperlink" Target="https://www.google.com/maps/search/?api=1&amp;query=SBNV+TCG+Store+Ho+Chi+Minh+City+Vietnam" TargetMode="External"/><Relationship Id="rId197" Type="http://schemas.openxmlformats.org/officeDocument/2006/relationships/hyperlink" Target="https://tcgtalk.com/guides/vietnam-pokemon-tradeshows-2026" TargetMode="External"/><Relationship Id="rId198" Type="http://schemas.openxmlformats.org/officeDocument/2006/relationships/hyperlink" Target="https://www.google.com/maps/search/?api=1&amp;query=The+Elite+Card+Game+Store+Ho+Chi+Minh+City+Vietnam" TargetMode="External"/><Relationship Id="rId199" Type="http://schemas.openxmlformats.org/officeDocument/2006/relationships/hyperlink" Target="https://tcgtalk.com/guides/vietnam-pokemon-tradeshows-2026" TargetMode="External"/><Relationship Id="rId200" Type="http://schemas.openxmlformats.org/officeDocument/2006/relationships/hyperlink" Target="https://www.google.com/maps/search/?api=1&amp;query=Wano+Games+Ph&#250;+Nhu&#7853;n+Vietnam" TargetMode="External"/><Relationship Id="rId201" Type="http://schemas.openxmlformats.org/officeDocument/2006/relationships/hyperlink" Target="https://tcgtalk.com/guides/tcg-shops-vietnam" TargetMode="External"/><Relationship Id="rId202" Type="http://schemas.openxmlformats.org/officeDocument/2006/relationships/hyperlink" Target="https://www.facebook.com/TCGStoreVietNam" TargetMode="External"/><Relationship Id="rId203" Type="http://schemas.openxmlformats.org/officeDocument/2006/relationships/hyperlink" Target="https://www.facebook.com/TCGStoreVietNam/" TargetMode="External"/><Relationship Id="rId204" Type="http://schemas.openxmlformats.org/officeDocument/2006/relationships/hyperlink" Target="https://www.lazada.com.ph/products/pokemon-tcg-mega-evolution-ascended-heroes-elite-trainer-box-i15389354988.html" TargetMode="External"/><Relationship Id="rId205" Type="http://schemas.openxmlformats.org/officeDocument/2006/relationships/hyperlink" Target="https://www.google.com/maps/search/?api=1&amp;query=Game+One+Branches+incl.+SM+North+EDSA%2C+Glorietta%2C+SM+Megamall+Philippines" TargetMode="External"/><Relationship Id="rId206" Type="http://schemas.openxmlformats.org/officeDocument/2006/relationships/hyperlink" Target="https://tcgtalk.com/guides/philippines/where-to-buy-pokemon-cards-philippines" TargetMode="External"/><Relationship Id="rId207" Type="http://schemas.openxmlformats.org/officeDocument/2006/relationships/hyperlink" Target="https://www.google.com/maps/search/?api=1&amp;query=Neutral+Grounds+Metro+Manila+%28multiple+branches%29+Philippines" TargetMode="External"/><Relationship Id="rId208" Type="http://schemas.openxmlformats.org/officeDocument/2006/relationships/hyperlink" Target="https://tcgtalk.com/guides/philippines/where-to-buy-pokemon-cards-philippines" TargetMode="External"/><Relationship Id="rId209" Type="http://schemas.openxmlformats.org/officeDocument/2006/relationships/hyperlink" Target="https://ecommerce.datablitz.com.ph/" TargetMode="External"/><Relationship Id="rId210" Type="http://schemas.openxmlformats.org/officeDocument/2006/relationships/hyperlink" Target="https://www.google.com/maps/search/?api=1&amp;query=Datablitz+Mall+branches+%28SM%2C+Robinsons%2C+Ayala%2C+Trinoma%29+across+Metro+Manila%3B+branches+in+Cebu%2C+Iloilo%2C+Davao+Philippines" TargetMode="External"/><Relationship Id="rId211" Type="http://schemas.openxmlformats.org/officeDocument/2006/relationships/hyperlink" Target="https://tcgtalk.com/guides/philippines/where-to-buy-pokemon-cards-philippines" TargetMode="External"/><Relationship Id="rId212" Type="http://schemas.openxmlformats.org/officeDocument/2006/relationships/hyperlink" Target="https://www.toykingdom.ph/collections/pokemon" TargetMode="External"/><Relationship Id="rId213" Type="http://schemas.openxmlformats.org/officeDocument/2006/relationships/hyperlink" Target="https://www.google.com/maps/search/?api=1&amp;query=Toy+Kingdom+SM+mall+branches+nationwide+%28incl.+SM+Cebu%2C+SM+Davao%29+Philippines" TargetMode="External"/><Relationship Id="rId214" Type="http://schemas.openxmlformats.org/officeDocument/2006/relationships/hyperlink" Target="https://www.toykingdom.ph/collections/pokemon?page=1" TargetMode="External"/><Relationship Id="rId215" Type="http://schemas.openxmlformats.org/officeDocument/2006/relationships/hyperlink" Target="https://shop.greengatehobbies.com/" TargetMode="External"/><Relationship Id="rId216" Type="http://schemas.openxmlformats.org/officeDocument/2006/relationships/hyperlink" Target="https://www.google.com/maps/search/?api=1&amp;query=Green+Gate+Hobbies+857+Aurora+Blvd.+cor.+St.+Mary+St.%2C+Cubao%2C+Quezon+City+Philippines" TargetMode="External"/><Relationship Id="rId217" Type="http://schemas.openxmlformats.org/officeDocument/2006/relationships/hyperlink" Target="https://tcgtalk.com/guides/tcg-shops-philippines" TargetMode="External"/><Relationship Id="rId218" Type="http://schemas.openxmlformats.org/officeDocument/2006/relationships/hyperlink" Target="https://www.google.com/maps/search/?api=1&amp;query=Toys%22R%22Us+Philippines+%28Pok&#233;mon+Play+Hub%29+Level+3%2C+Robinsons+Galleria%2C+EDSA+cor.+Ortigas+Ave.+%28Pok&#233;mon+Play+Hub%29%3B+nationwide+Toys+R+Us+branches+Philippines" TargetMode="External"/><Relationship Id="rId219" Type="http://schemas.openxmlformats.org/officeDocument/2006/relationships/hyperlink" Target="https://www.robinsonsretailholdings.com.ph/2025/11/26/toysrus-pokemon-unveil-1st-pokemon-play-hub-in-ph/" TargetMode="External"/><Relationship Id="rId220" Type="http://schemas.openxmlformats.org/officeDocument/2006/relationships/hyperlink" Target="https://www.google.com/maps/search/?api=1&amp;query=CO.+the+collectible+store+3F+Shoppesville%2C+Greenhills+Shopping+Center%2C+San+Juan+%28also%3A+Parkway+area%2C+SM+City+Fairview%2C+Quezon+City%3B+GF+Mitsukoshi+Mall%2C+Grand+Central+Park%2C+BGC%2C+Taguig%29+" TargetMode="External"/><Relationship Id="rId221" Type="http://schemas.openxmlformats.org/officeDocument/2006/relationships/hyperlink" Target="https://tcgtalk.com/blog/chaos-rising-pokemon-philippines-guide-1777992510344" TargetMode="External"/><Relationship Id="rId222" Type="http://schemas.openxmlformats.org/officeDocument/2006/relationships/hyperlink" Target="https://www.facebook.com/magicshopdavao" TargetMode="External"/><Relationship Id="rId223" Type="http://schemas.openxmlformats.org/officeDocument/2006/relationships/hyperlink" Target="https://www.google.com/maps/search/?api=1&amp;query=Davao+Magic+Shop+Cor.+Lacson+Torres+St.%2C+Obrero%2C+Davao+City+Philippines" TargetMode="External"/><Relationship Id="rId224" Type="http://schemas.openxmlformats.org/officeDocument/2006/relationships/hyperlink" Target="https://tcgtalk.com/guides/tcg-shops-philippines" TargetMode="External"/><Relationship Id="rId225" Type="http://schemas.openxmlformats.org/officeDocument/2006/relationships/hyperlink" Target="https://vaultcardshop.com/" TargetMode="External"/><Relationship Id="rId226" Type="http://schemas.openxmlformats.org/officeDocument/2006/relationships/hyperlink" Target="https://www.facebook.com/VaultCardShop" TargetMode="External"/><Relationship Id="rId227" Type="http://schemas.openxmlformats.org/officeDocument/2006/relationships/hyperlink" Target="https://www.google.com/maps/search/?api=1&amp;query=Vault+Card+Shop+Circuit+Lane%2C+Carmona%2C+Makati+City%2C+Metro+Manila+Philippines" TargetMode="External"/><Relationship Id="rId228" Type="http://schemas.openxmlformats.org/officeDocument/2006/relationships/hyperlink" Target="https://www.facebook.com/VaultCardShop/" TargetMode="External"/><Relationship Id="rId229" Type="http://schemas.openxmlformats.org/officeDocument/2006/relationships/hyperlink" Target="https://www.google.com/maps/search/?api=1&amp;query=Magus+Games+Predico+Building%2C+Hernan+Cortes+St.%2C+Mandaue+City%2C+Cebu+Philippines" TargetMode="External"/><Relationship Id="rId230" Type="http://schemas.openxmlformats.org/officeDocument/2006/relationships/hyperlink" Target="https://tcgtalk.com/guides/tcg-shops-philippines" TargetMode="External"/><Relationship Id="rId231" Type="http://schemas.openxmlformats.org/officeDocument/2006/relationships/hyperlink" Target="https://www.facebook.com/p/JapStore-PH-Cards-Hobbies-100094538074584" TargetMode="External"/><Relationship Id="rId232" Type="http://schemas.openxmlformats.org/officeDocument/2006/relationships/hyperlink" Target="https://www.google.com/maps/search/?api=1&amp;query=JapStore+PH+Cards+%26+Hobbies+363+Moriones+St.%2C+Tondo%2C+Manila+Philippines" TargetMode="External"/><Relationship Id="rId233" Type="http://schemas.openxmlformats.org/officeDocument/2006/relationships/hyperlink" Target="https://www.facebook.com/p/JapStore-PH-Cards-Hobbies-100094538074584/" TargetMode="External"/><Relationship Id="rId234" Type="http://schemas.openxmlformats.org/officeDocument/2006/relationships/hyperlink" Target="https://www.google.com/maps/search/?api=1&amp;query=Gaming+Library+Metro+Manila+Philippines" TargetMode="External"/><Relationship Id="rId235" Type="http://schemas.openxmlformats.org/officeDocument/2006/relationships/hyperlink" Target="https://tcgtalk.com/guides/philippines/where-to-buy-pokemon-cards-philippines" TargetMode="External"/><Relationship Id="rId236" Type="http://schemas.openxmlformats.org/officeDocument/2006/relationships/hyperlink" Target="https://www.google.com/maps/search/?api=1&amp;query=Courtside+SM+City+North+EDSA+and+Trinoma+branches%2C+Quezon+City+Philippines" TargetMode="External"/><Relationship Id="rId237" Type="http://schemas.openxmlformats.org/officeDocument/2006/relationships/hyperlink" Target="https://tcgtalk.com/guides/tcg-shops-philippines" TargetMode="External"/><Relationship Id="rId238" Type="http://schemas.openxmlformats.org/officeDocument/2006/relationships/hyperlink" Target="https://www.instagram.com/hobbystadium" TargetMode="External"/><Relationship Id="rId239" Type="http://schemas.openxmlformats.org/officeDocument/2006/relationships/hyperlink" Target="https://www.google.com/maps/search/?api=1&amp;query=Hobby+Stadium+3F%2C+84+Dona+Hemady+St.+at+E.+Rodriguez+St.%2C+New+Manila%2C+Quezon+City+Philippines" TargetMode="External"/><Relationship Id="rId240" Type="http://schemas.openxmlformats.org/officeDocument/2006/relationships/hyperlink" Target="https://tcgtalk.com/blog/chaos-rising-pokemon-philippines-guide-1777992510344" TargetMode="External"/><Relationship Id="rId241" Type="http://schemas.openxmlformats.org/officeDocument/2006/relationships/hyperlink" Target="https://www.google.com/maps/search/?api=1&amp;query=RunIt+Decks+Upper+level%2C+Promenade+Mall%2C+Greenhills+Shopping+Center%2C+San+Juan+City+Philippines" TargetMode="External"/><Relationship Id="rId242" Type="http://schemas.openxmlformats.org/officeDocument/2006/relationships/hyperlink" Target="https://tcgtalk.com/blog/chaos-rising-pokemon-philippines-guide-1777992510344" TargetMode="External"/><Relationship Id="rId243" Type="http://schemas.openxmlformats.org/officeDocument/2006/relationships/hyperlink" Target="https://www.google.com/maps/search/?api=1&amp;query=Madcap+Gaming+Philippines+San+Pedro%2C+Laguna+Philippines" TargetMode="External"/><Relationship Id="rId244" Type="http://schemas.openxmlformats.org/officeDocument/2006/relationships/hyperlink" Target="https://tcgtalk.com/blog/chaos-rising-pokemon-philippines-guide-1777992510344" TargetMode="External"/><Relationship Id="rId245" Type="http://schemas.openxmlformats.org/officeDocument/2006/relationships/hyperlink" Target="https://www.google.com/maps/search/?api=1&amp;query=NPC+Caf&#233;+Calamba%2C+Laguna+Philippines" TargetMode="External"/><Relationship Id="rId246" Type="http://schemas.openxmlformats.org/officeDocument/2006/relationships/hyperlink" Target="https://tcgtalk.com/guides/tcg-shops-philippines" TargetMode="External"/><Relationship Id="rId247" Type="http://schemas.openxmlformats.org/officeDocument/2006/relationships/hyperlink" Target="https://www.google.com/maps/search/?api=1&amp;query=BOX+17+%40+Unbox+Cebu+Unbox+Cebu%2C+Ayala+Central+Bloc%2C+Cebu+IT+Park%2C+Cebu+City+Philippines" TargetMode="External"/><Relationship Id="rId248" Type="http://schemas.openxmlformats.org/officeDocument/2006/relationships/hyperlink" Target="https://www.tiktok.com/discover/where-to-sell-pokemon-cards-philippines" TargetMode="External"/><Relationship Id="rId249" Type="http://schemas.openxmlformats.org/officeDocument/2006/relationships/hyperlink" Target="https://www.google.com/maps/search/?api=1&amp;query=Block+101+Hobbies+Ground+Floor%2C+Royal+Plaza+Commercial+Center%2C+Mandaluyong+City+Philippines" TargetMode="External"/><Relationship Id="rId250" Type="http://schemas.openxmlformats.org/officeDocument/2006/relationships/hyperlink" Target="https://tcgtalk.com/blog/chaos-rising-pokemon-philippines-guide-1777992510344" TargetMode="External"/><Relationship Id="rId251" Type="http://schemas.openxmlformats.org/officeDocument/2006/relationships/hyperlink" Target="https://www.facebook.com/ongkeco.shop" TargetMode="External"/><Relationship Id="rId252" Type="http://schemas.openxmlformats.org/officeDocument/2006/relationships/hyperlink" Target="https://www.google.com/maps/search/?api=1&amp;query=Ongkeco%27s+Hobby+Shop+Cor.+Taft+Ave.+%26+Estrada+St.%2C+Malate%2C+Manila+Philippines" TargetMode="External"/><Relationship Id="rId253" Type="http://schemas.openxmlformats.org/officeDocument/2006/relationships/hyperlink" Target="https://www.facebook.com/ongkeco.shop/" TargetMode="External"/><Relationship Id="rId254" Type="http://schemas.openxmlformats.org/officeDocument/2006/relationships/hyperlink" Target="https://www.google.com/maps/search/?api=1&amp;query=Ozine+Hub+%26+Caf&#233;+Pasig+Philippines" TargetMode="External"/><Relationship Id="rId255" Type="http://schemas.openxmlformats.org/officeDocument/2006/relationships/hyperlink" Target="https://tcgtalk.com/guides/tcg-shops-philippines" TargetMode="External"/><Relationship Id="rId256" Type="http://schemas.openxmlformats.org/officeDocument/2006/relationships/hyperlink" Target="https://www.google.com/maps/search/?api=1&amp;query=Roll+Play+Game+Lounge+Estancia%2C+Capitol+Commons%2C+Pasig+City+Philippines" TargetMode="External"/><Relationship Id="rId257" Type="http://schemas.openxmlformats.org/officeDocument/2006/relationships/hyperlink" Target="https://tcgtalk.com/guides/tcg-shops-philippines" TargetMode="External"/><Relationship Id="rId258" Type="http://schemas.openxmlformats.org/officeDocument/2006/relationships/hyperlink" Target="https://www.google.com/maps/search/?api=1&amp;query=SideQuest+Caf&#233;+%2B+Hobby+Lounge+Estancia%2C+Capitol+Commons%2C+Pasig+City+Philippines" TargetMode="External"/><Relationship Id="rId259" Type="http://schemas.openxmlformats.org/officeDocument/2006/relationships/hyperlink" Target="https://tcgtalk.com/guides/tcg-shops-philippines" TargetMode="External"/><Relationship Id="rId260" Type="http://schemas.openxmlformats.org/officeDocument/2006/relationships/hyperlink" Target="https://www.google.com/maps/search/?api=1&amp;query=Kachi+Cafe+%26+Collectibles+San+Juan+Philippines" TargetMode="External"/><Relationship Id="rId261" Type="http://schemas.openxmlformats.org/officeDocument/2006/relationships/hyperlink" Target="https://tcgtalk.com/guides/tcg-shops-philippines" TargetMode="External"/><Relationship Id="rId262" Type="http://schemas.openxmlformats.org/officeDocument/2006/relationships/hyperlink" Target="https://www.facebook.com/pokeshopphilippines" TargetMode="External"/><Relationship Id="rId263" Type="http://schemas.openxmlformats.org/officeDocument/2006/relationships/hyperlink" Target="https://www.facebook.com/pokeshopphilippines/" TargetMode="External"/><Relationship Id="rId264" Type="http://schemas.openxmlformats.org/officeDocument/2006/relationships/hyperlink" Target="https://www.google.com/maps/search/?api=1&amp;query=X+Legendary+Cactus+St.%2C+Taguig+%28Plus+Code+G3V4%2B3JQ%29+Philippines" TargetMode="External"/><Relationship Id="rId265" Type="http://schemas.openxmlformats.org/officeDocument/2006/relationships/hyperlink" Target="https://tcgtalk.com/blog/chaos-rising-pokemon-philippines-guide-1777992510344" TargetMode="External"/><Relationship Id="rId266" Type="http://schemas.openxmlformats.org/officeDocument/2006/relationships/hyperlink" Target="https://www.facebook.com/jkhobbyshopph" TargetMode="External"/><Relationship Id="rId267" Type="http://schemas.openxmlformats.org/officeDocument/2006/relationships/hyperlink" Target="https://www.google.com/maps/search/?api=1&amp;query=JK+Hobby+Shop+Tagum+City%2C+Davao+del+Norte+Philippines" TargetMode="External"/><Relationship Id="rId268" Type="http://schemas.openxmlformats.org/officeDocument/2006/relationships/hyperlink" Target="https://www.facebook.com/jkhobbyshopph/" TargetMode="External"/><Relationship Id="rId269" Type="http://schemas.openxmlformats.org/officeDocument/2006/relationships/hyperlink" Target="https://www.google.com/maps/search/?api=1&amp;query=Cafe+Mannaia+Tarlac+City+Philippines" TargetMode="External"/><Relationship Id="rId270" Type="http://schemas.openxmlformats.org/officeDocument/2006/relationships/hyperlink" Target="https://www.tiktok.com/discover/where-to-sell-pokemon-cards-philippines" TargetMode="External"/><Relationship Id="rId271" Type="http://schemas.openxmlformats.org/officeDocument/2006/relationships/hyperlink" Target="https://www.lazada.com.ph/products/pokemon-tcg-shining-fates-elite-trainer-box-i1795891590.html" TargetMode="External"/><Relationship Id="rId272" Type="http://schemas.openxmlformats.org/officeDocument/2006/relationships/hyperlink" Target="https://shopee.ph/pokeworld_ph" TargetMode="External"/><Relationship Id="rId273" Type="http://schemas.openxmlformats.org/officeDocument/2006/relationships/hyperlink" Target="https://www.google.com/maps/search/?api=1&amp;query=Final+Turn+Hobby+Shop+Bacolod+City+Philippines" TargetMode="External"/><Relationship Id="rId274" Type="http://schemas.openxmlformats.org/officeDocument/2006/relationships/hyperlink" Target="https://tcgtalk.com/guides/tcg-shops-philippines" TargetMode="External"/><Relationship Id="rId275" Type="http://schemas.openxmlformats.org/officeDocument/2006/relationships/hyperlink" Target="https://www.google.com/maps/search/?api=1&amp;query=Guild+House+Novelty+Item+Shop+Bi&#241;an%2C+Laguna+Philippines" TargetMode="External"/><Relationship Id="rId276" Type="http://schemas.openxmlformats.org/officeDocument/2006/relationships/hyperlink" Target="https://tcgtalk.com/guides/tcg-shops-philippines" TargetMode="External"/><Relationship Id="rId277" Type="http://schemas.openxmlformats.org/officeDocument/2006/relationships/hyperlink" Target="https://www.google.com/maps/search/?api=1&amp;query=Aqua+Card+Games+Cavite+Cavite+Philippines" TargetMode="External"/><Relationship Id="rId278" Type="http://schemas.openxmlformats.org/officeDocument/2006/relationships/hyperlink" Target="https://tcgtalk.com/guides/tcg-shops-philippines" TargetMode="External"/><Relationship Id="rId279" Type="http://schemas.openxmlformats.org/officeDocument/2006/relationships/hyperlink" Target="https://www.google.com/maps/search/?api=1&amp;query=Legends+Hobby+Shop+481+Kinasang-An%2C+Cebu+City+Philippines" TargetMode="External"/><Relationship Id="rId280" Type="http://schemas.openxmlformats.org/officeDocument/2006/relationships/hyperlink" Target="https://tcgtalk.com/guides/tcg-shops-philippines" TargetMode="External"/><Relationship Id="rId281" Type="http://schemas.openxmlformats.org/officeDocument/2006/relationships/hyperlink" Target="https://www.google.com/maps/search/?api=1&amp;query=Play+2+Learn+Level+3%2C+Ayala+Center+Cebu%2C+Cebu+City+Philippines" TargetMode="External"/><Relationship Id="rId282" Type="http://schemas.openxmlformats.org/officeDocument/2006/relationships/hyperlink" Target="https://tcgtalk.com/guides/tcg-shops-philippines" TargetMode="External"/><Relationship Id="rId283" Type="http://schemas.openxmlformats.org/officeDocument/2006/relationships/hyperlink" Target="https://www.google.com/maps/search/?api=1&amp;query=Mage-Ring+Dasmari&#241;as%2C+Cavite+Philippines" TargetMode="External"/><Relationship Id="rId284" Type="http://schemas.openxmlformats.org/officeDocument/2006/relationships/hyperlink" Target="https://tcgtalk.com/guides/tcg-shops-philippines" TargetMode="External"/><Relationship Id="rId285" Type="http://schemas.openxmlformats.org/officeDocument/2006/relationships/hyperlink" Target="https://www.google.com/maps/search/?api=1&amp;query=Forge+Hobby+Place+Las+Pi&#241;as+%28also+ForgeHobbyPlace+SouthSide%2C+Bacoor%2C+Cavite%29+Philippines" TargetMode="External"/><Relationship Id="rId286" Type="http://schemas.openxmlformats.org/officeDocument/2006/relationships/hyperlink" Target="https://tcgtalk.com/guides/tcg-shops-philippines" TargetMode="External"/><Relationship Id="rId287" Type="http://schemas.openxmlformats.org/officeDocument/2006/relationships/hyperlink" Target="https://www.google.com/maps/search/?api=1&amp;query=Arken+CardZone+Level+2%2C+Unit+L2031%2C+Ayala+Malls+Circuit%2C+Hippodromo+St.%2C+Carmona%2C+Makati+City+Philippines" TargetMode="External"/><Relationship Id="rId288" Type="http://schemas.openxmlformats.org/officeDocument/2006/relationships/hyperlink" Target="https://tcgtalk.com/blog/chaos-rising-pokemon-philippines-guide-1777992510344" TargetMode="External"/><Relationship Id="rId289" Type="http://schemas.openxmlformats.org/officeDocument/2006/relationships/hyperlink" Target="https://www.google.com/maps/search/?api=1&amp;query=Japan+Gacha+Recto+Ave.+area%2C+Sampaloc%2C+Manila+Philippines" TargetMode="External"/><Relationship Id="rId290" Type="http://schemas.openxmlformats.org/officeDocument/2006/relationships/hyperlink" Target="https://tcgtalk.com/guides/tcg-shops-philippines" TargetMode="External"/><Relationship Id="rId291" Type="http://schemas.openxmlformats.org/officeDocument/2006/relationships/hyperlink" Target="https://www.google.com/maps/search/?api=1&amp;query=High+Market+Store+and+Cafe+Metro+Manila+%28Cubao%2C+QC+per+one+listing%29+Philippines" TargetMode="External"/><Relationship Id="rId292" Type="http://schemas.openxmlformats.org/officeDocument/2006/relationships/hyperlink" Target="https://tcgtalk.com/guides/tcg-shops-philippines" TargetMode="External"/><Relationship Id="rId293" Type="http://schemas.openxmlformats.org/officeDocument/2006/relationships/hyperlink" Target="https://www.google.com/maps/search/?api=1&amp;query=Hobbyists+U+Toy+Store+Muntinlupa+Philippines" TargetMode="External"/><Relationship Id="rId294" Type="http://schemas.openxmlformats.org/officeDocument/2006/relationships/hyperlink" Target="https://tcgtalk.com/guides/tcg-shops-philippines" TargetMode="External"/><Relationship Id="rId295" Type="http://schemas.openxmlformats.org/officeDocument/2006/relationships/hyperlink" Target="https://www.google.com/maps/search/?api=1&amp;query=Hobby+Kaikan+Festival+Mall%2C+Alabang%2C+Muntinlupa+Philippines" TargetMode="External"/><Relationship Id="rId296" Type="http://schemas.openxmlformats.org/officeDocument/2006/relationships/hyperlink" Target="https://tcgtalk.com/guides/tcg-shops-philippines" TargetMode="External"/><Relationship Id="rId297" Type="http://schemas.openxmlformats.org/officeDocument/2006/relationships/hyperlink" Target="https://www.google.com/maps/search/?api=1&amp;query=ACG-Uniaqua+Hobbies+4th+Floor%2C+Ayala+Malls+Feliz%2C+Pasig+City+Philippines" TargetMode="External"/><Relationship Id="rId298" Type="http://schemas.openxmlformats.org/officeDocument/2006/relationships/hyperlink" Target="https://tcgtalk.com/blog/chaos-rising-pokemon-philippines-guide-1777992510344" TargetMode="External"/><Relationship Id="rId299" Type="http://schemas.openxmlformats.org/officeDocument/2006/relationships/hyperlink" Target="https://www.google.com/maps/search/?api=1&amp;query=Aurorus+Collections+B2+L3A+Commonwealth+Ave.%2C+Fairview%2C+Quezon+City+Philippines" TargetMode="External"/><Relationship Id="rId300" Type="http://schemas.openxmlformats.org/officeDocument/2006/relationships/hyperlink" Target="https://tcgtalk.com/blog/chaos-rising-pokemon-philippines-guide-1777992510344" TargetMode="External"/><Relationship Id="rId301" Type="http://schemas.openxmlformats.org/officeDocument/2006/relationships/hyperlink" Target="https://www.google.com/maps/search/?api=1&amp;query=Mana+Underground+91+Ascension+St.%2C+Lagro+Subdivision%2C+Quezon+City+Philippines" TargetMode="External"/><Relationship Id="rId302" Type="http://schemas.openxmlformats.org/officeDocument/2006/relationships/hyperlink" Target="https://tcgtalk.com/guides/tcg-shops-philippines" TargetMode="External"/><Relationship Id="rId303" Type="http://schemas.openxmlformats.org/officeDocument/2006/relationships/hyperlink" Target="https://www.google.com/maps/search/?api=1&amp;query=PopCulture+Community+116+Eastwood+Ave.%2C+Bagumbayan%2C+Quezon+City+Philippines" TargetMode="External"/><Relationship Id="rId304" Type="http://schemas.openxmlformats.org/officeDocument/2006/relationships/hyperlink" Target="https://tcgtalk.com/guides/tcg-shops-philippines" TargetMode="External"/><Relationship Id="rId305" Type="http://schemas.openxmlformats.org/officeDocument/2006/relationships/hyperlink" Target="https://www.google.com/maps/search/?api=1&amp;query=Toy+Shogun+Quezon+City+Philippines" TargetMode="External"/><Relationship Id="rId306" Type="http://schemas.openxmlformats.org/officeDocument/2006/relationships/hyperlink" Target="https://tcgtalk.com/guides/tcg-shops-philippines" TargetMode="External"/><Relationship Id="rId307" Type="http://schemas.openxmlformats.org/officeDocument/2006/relationships/hyperlink" Target="https://www.google.com/maps/search/?api=1&amp;query=Dragon%27s+Chest+Cubao%2C+Quezon+City+Philippines" TargetMode="External"/><Relationship Id="rId308" Type="http://schemas.openxmlformats.org/officeDocument/2006/relationships/hyperlink" Target="https://tcgtalk.com/guides/tcg-shops-philippines" TargetMode="External"/><Relationship Id="rId309" Type="http://schemas.openxmlformats.org/officeDocument/2006/relationships/hyperlink" Target="https://www.google.com/maps/search/?api=1&amp;query=Big+Boys+%28Shoppesville%29+Shoppesville%2C+Greenhills+Shopping+Center%2C+San+Juan+City+Philippines" TargetMode="External"/><Relationship Id="rId310" Type="http://schemas.openxmlformats.org/officeDocument/2006/relationships/hyperlink" Target="https://tcgtalk.com/guides/philippines/where-to-buy-pokemon-cards-philippines" TargetMode="External"/><Relationship Id="rId311" Type="http://schemas.openxmlformats.org/officeDocument/2006/relationships/hyperlink" Target="https://www.google.com/maps/search/?api=1&amp;query=Collecticat+Games+and+Hobbies+Basement+2%2C+Promenade+Mall%2C+Greenhills+Shopping+Center%2C+San+Juan+City+Philippines" TargetMode="External"/><Relationship Id="rId312" Type="http://schemas.openxmlformats.org/officeDocument/2006/relationships/hyperlink" Target="https://tcgtalk.com/blog/chaos-rising-pokemon-philippines-guide-1777992510344" TargetMode="External"/><Relationship Id="rId313" Type="http://schemas.openxmlformats.org/officeDocument/2006/relationships/hyperlink" Target="https://www.google.com/maps/search/?api=1&amp;query=Fortress+Toys+and+Hobbies+Greenhills+Shopping+Center%2C+San+Juan+City+Philippines" TargetMode="External"/><Relationship Id="rId314" Type="http://schemas.openxmlformats.org/officeDocument/2006/relationships/hyperlink" Target="https://tcgtalk.com/guides/tcg-shops-philippines" TargetMode="External"/><Relationship Id="rId315" Type="http://schemas.openxmlformats.org/officeDocument/2006/relationships/hyperlink" Target="https://www.google.com/maps/search/?api=1&amp;query=PCButlers+Novelty+Shop+Santa+Rosa%2C+Laguna+Philippines" TargetMode="External"/><Relationship Id="rId316" Type="http://schemas.openxmlformats.org/officeDocument/2006/relationships/hyperlink" Target="https://tcgtalk.com/guides/tcg-shops-philippines" TargetMode="External"/><Relationship Id="rId317" Type="http://schemas.openxmlformats.org/officeDocument/2006/relationships/hyperlink" Target="https://www.google.com/maps/search/?api=1&amp;query=Cardpro+Hobbies+%26+Collectibles+1707+One+Park+Drive%2C+9th+Avenue%2C+Bonifacio+Global+City%2C+Taguig+Philippines" TargetMode="External"/><Relationship Id="rId318" Type="http://schemas.openxmlformats.org/officeDocument/2006/relationships/hyperlink" Target="https://tcgtalk.com/blog/chaos-rising-pokemon-philippines-guide-1777992510344" TargetMode="External"/><Relationship Id="rId319" Type="http://schemas.openxmlformats.org/officeDocument/2006/relationships/hyperlink" Target="https://maxsoftonline.com/" TargetMode="External"/><Relationship Id="rId320" Type="http://schemas.openxmlformats.org/officeDocument/2006/relationships/hyperlink" Target="https://bulbapedia.bulbagarden.net/wiki/Singapore" TargetMode="External"/><Relationship Id="rId321" Type="http://schemas.openxmlformats.org/officeDocument/2006/relationships/hyperlink" Target="https://www.google.com/maps/search/?api=1&amp;query=N2+Toys+Beauty+World+Centre%2C+144+Upper+Bukit+Timah+Road+%23B1-22%3B+also+100AM+Mall+L3+and+The+Centrepoint+L5+Singapour" TargetMode="External"/><Relationship Id="rId322" Type="http://schemas.openxmlformats.org/officeDocument/2006/relationships/hyperlink" Target="https://tcgtalk.com/blog/n2-toys-singapore-review-beauty-world-centre-pokemon-tcg-2026-1771594342551" TargetMode="External"/><Relationship Id="rId323" Type="http://schemas.openxmlformats.org/officeDocument/2006/relationships/hyperlink" Target="https://www.google.com/maps/search/?api=1&amp;query=Play+United+The+Centrepoint%2C+176+Orchard+Road+%2303-07%3B+United+Square+%28Novena%29+%23B1-73%3B+Hougang+Mall+Singapour" TargetMode="External"/><Relationship Id="rId324" Type="http://schemas.openxmlformats.org/officeDocument/2006/relationships/hyperlink" Target="https://tcgtalk.com/blog/play-united-singapore-review-orchard-centrepoint-pokemon-tcg-2026-1782657722811" TargetMode="External"/><Relationship Id="rId325" Type="http://schemas.openxmlformats.org/officeDocument/2006/relationships/hyperlink" Target="https://www.google.com/maps/search/?api=1&amp;query=Pok&#233;mon+Center+Singapore+Jewel+Changi+Airport+Singapour" TargetMode="External"/><Relationship Id="rId326" Type="http://schemas.openxmlformats.org/officeDocument/2006/relationships/hyperlink" Target="https://thesmartlocal.com/read/guide-to-pokemon-cards-in-singapore/" TargetMode="External"/><Relationship Id="rId327" Type="http://schemas.openxmlformats.org/officeDocument/2006/relationships/hyperlink" Target="https://www.google.com/maps/search/?api=1&amp;query=Toy+Or+Game+Multiple+outlets+Singapour" TargetMode="External"/><Relationship Id="rId328" Type="http://schemas.openxmlformats.org/officeDocument/2006/relationships/hyperlink" Target="https://tcgtalk.com/blog/pokemon-card-collecting-singapore-2026-complete-beginner-guide" TargetMode="External"/><Relationship Id="rId329" Type="http://schemas.openxmlformats.org/officeDocument/2006/relationships/hyperlink" Target="https://www.google.com/maps/search/?api=1&amp;query=Toys%22R%22Us+Singapore+Multiple+outlets+island-wide+Singapour" TargetMode="External"/><Relationship Id="rId330" Type="http://schemas.openxmlformats.org/officeDocument/2006/relationships/hyperlink" Target="https://tcgtalk.com/blog/pokemon-card-collecting-singapore-2026-complete-beginner-guide" TargetMode="External"/><Relationship Id="rId331" Type="http://schemas.openxmlformats.org/officeDocument/2006/relationships/hyperlink" Target="https://www.google.com/maps/search/?api=1&amp;query=TPC+%28vintage+sealed+specialist%29+Singapore+Singapour" TargetMode="External"/><Relationship Id="rId332" Type="http://schemas.openxmlformats.org/officeDocument/2006/relationships/hyperlink" Target="https://player.me/?p=30893" TargetMode="External"/><Relationship Id="rId333" Type="http://schemas.openxmlformats.org/officeDocument/2006/relationships/hyperlink" Target="https://www.google.com/maps/search/?api=1&amp;query=Card+Arena+Suntec+City+Singapour" TargetMode="External"/><Relationship Id="rId334" Type="http://schemas.openxmlformats.org/officeDocument/2006/relationships/hyperlink" Target="https://thesmartlocal.com/read/tcg-store-card-arena-suntec-city/" TargetMode="External"/><Relationship Id="rId335" Type="http://schemas.openxmlformats.org/officeDocument/2006/relationships/hyperlink" Target="https://www.instagram.com/cardboardcollectible" TargetMode="External"/><Relationship Id="rId336" Type="http://schemas.openxmlformats.org/officeDocument/2006/relationships/hyperlink" Target="https://www.google.com/maps/search/?api=1&amp;query=Cardboard+Collectibles+Orchard+Gateway%2C+277+Orchard+Road+%28Somerset%29+Singapour" TargetMode="External"/><Relationship Id="rId337" Type="http://schemas.openxmlformats.org/officeDocument/2006/relationships/hyperlink" Target="https://thesmartlocal.com/read/guide-to-pokemon-cards-in-singapore/" TargetMode="External"/><Relationship Id="rId338" Type="http://schemas.openxmlformats.org/officeDocument/2006/relationships/hyperlink" Target="https://www.facebook.com/cardscentralsg" TargetMode="External"/><Relationship Id="rId339" Type="http://schemas.openxmlformats.org/officeDocument/2006/relationships/hyperlink" Target="https://www.google.com/maps/search/?api=1&amp;query=Cards+Central+62A+Smith+Street%2C+Level+2%2C+Chinatown%2C+Singapore+Singapour" TargetMode="External"/><Relationship Id="rId340" Type="http://schemas.openxmlformats.org/officeDocument/2006/relationships/hyperlink" Target="https://www.facebook.com/cardscentralsg/" TargetMode="External"/><Relationship Id="rId341" Type="http://schemas.openxmlformats.org/officeDocument/2006/relationships/hyperlink" Target="https://www.google.com/maps/search/?api=1&amp;query=Concept+City+139+Jalan+Besar%2C+Singapore+Singapour" TargetMode="External"/><Relationship Id="rId342" Type="http://schemas.openxmlformats.org/officeDocument/2006/relationships/hyperlink" Target="https://thesmartlocal.com/read/guide-to-pokemon-cards-in-singapore/" TargetMode="External"/><Relationship Id="rId343" Type="http://schemas.openxmlformats.org/officeDocument/2006/relationships/hyperlink" Target="https://dxcollection.com.sg/" TargetMode="External"/><Relationship Id="rId344" Type="http://schemas.openxmlformats.org/officeDocument/2006/relationships/hyperlink" Target="https://www.google.com/maps/search/?api=1&amp;query=DX+Collection+Parklane+Shopping+Mall%2C+35+Selegie+Road+%2305-11%2C+Singapore+188307+Singapour" TargetMode="External"/><Relationship Id="rId345" Type="http://schemas.openxmlformats.org/officeDocument/2006/relationships/hyperlink" Target="https://getgo.sg/blog/best-tcg-card-shops-in-singapore" TargetMode="External"/><Relationship Id="rId346" Type="http://schemas.openxmlformats.org/officeDocument/2006/relationships/hyperlink" Target="https://www.google.com/maps/search/?api=1&amp;query=Mana+Pro+Blk+203+Choa+Chu+Kang+Ave+1%2C+%23B1-41%2C+Singapore+%28per+tcgTalk+listing%3B+verify%29+Singapour" TargetMode="External"/><Relationship Id="rId347" Type="http://schemas.openxmlformats.org/officeDocument/2006/relationships/hyperlink" Target="https://tcgtalk.com/guides/pokemon-tcg-shops-singapore" TargetMode="External"/><Relationship Id="rId348" Type="http://schemas.openxmlformats.org/officeDocument/2006/relationships/hyperlink" Target="https://www.instagram.com/shanecollectibles" TargetMode="External"/><Relationship Id="rId349" Type="http://schemas.openxmlformats.org/officeDocument/2006/relationships/hyperlink" Target="https://www.google.com/maps/search/?api=1&amp;query=Shane+Collectibles+%26+Consignment+Singapore+Singapour" TargetMode="External"/><Relationship Id="rId350" Type="http://schemas.openxmlformats.org/officeDocument/2006/relationships/hyperlink" Target="https://www.instagram.com/shanecollectibles/" TargetMode="External"/><Relationship Id="rId351" Type="http://schemas.openxmlformats.org/officeDocument/2006/relationships/hyperlink" Target="https://www.google.com/maps/search/?api=1&amp;query=Snore+House+Lucky+Plaza%2C+Orchard+Road+Singapour" TargetMode="External"/><Relationship Id="rId352" Type="http://schemas.openxmlformats.org/officeDocument/2006/relationships/hyperlink" Target="https://getgo.sg/blog/best-tcg-card-shops-in-singapore" TargetMode="External"/><Relationship Id="rId353" Type="http://schemas.openxmlformats.org/officeDocument/2006/relationships/hyperlink" Target="https://www.google.com/maps/search/?api=1&amp;query=Spearing+Collectibles+Woodlands+Singapour" TargetMode="External"/><Relationship Id="rId354" Type="http://schemas.openxmlformats.org/officeDocument/2006/relationships/hyperlink" Target="https://thesmartlocal.com/read/guide-to-pokemon-cards-in-singapore/" TargetMode="External"/><Relationship Id="rId355" Type="http://schemas.openxmlformats.org/officeDocument/2006/relationships/hyperlink" Target="https://www.instagram.com/tcgtrading" TargetMode="External"/><Relationship Id="rId356" Type="http://schemas.openxmlformats.org/officeDocument/2006/relationships/hyperlink" Target="https://www.instagram.com/tcgtrading/" TargetMode="External"/><Relationship Id="rId357" Type="http://schemas.openxmlformats.org/officeDocument/2006/relationships/hyperlink" Target="https://www.instagram.com/1nonly_tcg" TargetMode="External"/><Relationship Id="rId358" Type="http://schemas.openxmlformats.org/officeDocument/2006/relationships/hyperlink" Target="https://www.google.com/maps/search/?api=1&amp;query=1NONLY_TCG+Card+fairs+Singapour" TargetMode="External"/><Relationship Id="rId359" Type="http://schemas.openxmlformats.org/officeDocument/2006/relationships/hyperlink" Target="https://tcgtalk.com/guides/singapore-tcg-event-vendor-directory" TargetMode="External"/><Relationship Id="rId360" Type="http://schemas.openxmlformats.org/officeDocument/2006/relationships/hyperlink" Target="https://www.google.com/maps/search/?api=1&amp;query=Agora+Hobby+French+Road%2C+Singapore+%28per+tcgTalk+directory%3B+listing+also+mixed+with+Choa+Chu+Kang+address%29+Singapour" TargetMode="External"/><Relationship Id="rId361" Type="http://schemas.openxmlformats.org/officeDocument/2006/relationships/hyperlink" Target="https://tcgtalk.com/guides/pokemon-tcg-shops-singapore" TargetMode="External"/><Relationship Id="rId362" Type="http://schemas.openxmlformats.org/officeDocument/2006/relationships/hyperlink" Target="https://www.instagram.com/allbluecollectibles" TargetMode="External"/><Relationship Id="rId363" Type="http://schemas.openxmlformats.org/officeDocument/2006/relationships/hyperlink" Target="https://www.google.com/maps/search/?api=1&amp;query=All+Blue+Collectibles+Singapore+Singapour" TargetMode="External"/><Relationship Id="rId364" Type="http://schemas.openxmlformats.org/officeDocument/2006/relationships/hyperlink" Target="https://www.instagram.com/allbluecollectibles/" TargetMode="External"/><Relationship Id="rId365" Type="http://schemas.openxmlformats.org/officeDocument/2006/relationships/hyperlink" Target="https://www.google.com/maps/search/?api=1&amp;query=Apex+Player%27s+Guild+High+Street+Centre%2C+1+North+Bridge+Road+%2302-02%2C+Singapore+Singapour" TargetMode="External"/><Relationship Id="rId366" Type="http://schemas.openxmlformats.org/officeDocument/2006/relationships/hyperlink" Target="https://tcgtalk.com/guides/pokemon-tcg-shops-singapore" TargetMode="External"/><Relationship Id="rId367" Type="http://schemas.openxmlformats.org/officeDocument/2006/relationships/hyperlink" Target="https://www.instagram.com/the094archive" TargetMode="External"/><Relationship Id="rId368" Type="http://schemas.openxmlformats.org/officeDocument/2006/relationships/hyperlink" Target="https://www.google.com/maps/search/?api=1&amp;query=Archive94+Card+fairs+Singapour" TargetMode="External"/><Relationship Id="rId369" Type="http://schemas.openxmlformats.org/officeDocument/2006/relationships/hyperlink" Target="https://tcgtalk.com/guides/singapore-tcg-event-vendor-directory" TargetMode="External"/><Relationship Id="rId370" Type="http://schemas.openxmlformats.org/officeDocument/2006/relationships/hyperlink" Target="https://www.carousell.sg/u/azurecards/" TargetMode="External"/><Relationship Id="rId371" Type="http://schemas.openxmlformats.org/officeDocument/2006/relationships/hyperlink" Target="https://www.instagram.com/beyondborders.tcg" TargetMode="External"/><Relationship Id="rId372" Type="http://schemas.openxmlformats.org/officeDocument/2006/relationships/hyperlink" Target="https://www.google.com/maps/search/?api=1&amp;query=Beyond+Borders+Card+fairs+%2F+online+Singapour" TargetMode="External"/><Relationship Id="rId373" Type="http://schemas.openxmlformats.org/officeDocument/2006/relationships/hyperlink" Target="https://tcgtalk.com/guides/singapore-tcg-event-vendor-directory" TargetMode="External"/><Relationship Id="rId374" Type="http://schemas.openxmlformats.org/officeDocument/2006/relationships/hyperlink" Target="https://www.instagram.com/blusterycollectibles" TargetMode="External"/><Relationship Id="rId375" Type="http://schemas.openxmlformats.org/officeDocument/2006/relationships/hyperlink" Target="https://www.google.com/maps/search/?api=1&amp;query=Blustery+Collectibles+West+Singapore+%28card-fair+vendor%29+Singapour" TargetMode="External"/><Relationship Id="rId376" Type="http://schemas.openxmlformats.org/officeDocument/2006/relationships/hyperlink" Target="https://tcgtalk.com/guides/singapore-tcg-event-vendor-directory" TargetMode="External"/><Relationship Id="rId377" Type="http://schemas.openxmlformats.org/officeDocument/2006/relationships/hyperlink" Target="https://www.instagram.com/bokbokgeh.tcg" TargetMode="External"/><Relationship Id="rId378" Type="http://schemas.openxmlformats.org/officeDocument/2006/relationships/hyperlink" Target="https://www.google.com/maps/search/?api=1&amp;query=BokbokgehTCG+Card+fairs+Singapour" TargetMode="External"/><Relationship Id="rId379" Type="http://schemas.openxmlformats.org/officeDocument/2006/relationships/hyperlink" Target="https://tcgtalk.com/guides/singapore-tcg-event-vendor-directory" TargetMode="External"/><Relationship Id="rId380" Type="http://schemas.openxmlformats.org/officeDocument/2006/relationships/hyperlink" Target="https://www.facebook.com/Bricksplay" TargetMode="External"/><Relationship Id="rId381" Type="http://schemas.openxmlformats.org/officeDocument/2006/relationships/hyperlink" Target="https://www.google.com/maps/search/?api=1&amp;query=Bricks+Play+183+Toa+Payoh+Central%2C+Singapore+Singapour" TargetMode="External"/><Relationship Id="rId382" Type="http://schemas.openxmlformats.org/officeDocument/2006/relationships/hyperlink" Target="https://www.facebook.com/Bricksplay/" TargetMode="External"/><Relationship Id="rId383" Type="http://schemas.openxmlformats.org/officeDocument/2006/relationships/hyperlink" Target="https://www.instagram.com/bxcollectibes" TargetMode="External"/><Relationship Id="rId384" Type="http://schemas.openxmlformats.org/officeDocument/2006/relationships/hyperlink" Target="https://www.google.com/maps/search/?api=1&amp;query=BX+Collectibles+Card+fairs+Singapour" TargetMode="External"/><Relationship Id="rId385" Type="http://schemas.openxmlformats.org/officeDocument/2006/relationships/hyperlink" Target="https://tcgtalk.com/guides/singapore-tcg-event-vendor-directory" TargetMode="External"/><Relationship Id="rId386" Type="http://schemas.openxmlformats.org/officeDocument/2006/relationships/hyperlink" Target="https://www.instagram.com/caesarcards_sg" TargetMode="External"/><Relationship Id="rId387" Type="http://schemas.openxmlformats.org/officeDocument/2006/relationships/hyperlink" Target="https://www.google.com/maps/search/?api=1&amp;query=Caesar+Cards+930+Yishun+Central+1%2C+%2301-123A%2C+Singapore+760930+Singapour" TargetMode="External"/><Relationship Id="rId388" Type="http://schemas.openxmlformats.org/officeDocument/2006/relationships/hyperlink" Target="https://getgo.sg/blog/best-tcg-card-shops-in-singapore" TargetMode="External"/><Relationship Id="rId389" Type="http://schemas.openxmlformats.org/officeDocument/2006/relationships/hyperlink" Target="https://www.facebook.com/capybaracards" TargetMode="External"/><Relationship Id="rId390" Type="http://schemas.openxmlformats.org/officeDocument/2006/relationships/hyperlink" Target="https://www.google.com/maps/search/?api=1&amp;query=Capybara+Cards+High+Street+Centre%2C+1+North+Bridge+Road+%2302-16%2C+Singapore+%28near+Clarke+Quay+%2F+City+Hall+MRT%29+Singapour" TargetMode="External"/><Relationship Id="rId391" Type="http://schemas.openxmlformats.org/officeDocument/2006/relationships/hyperlink" Target="https://www.facebook.com/capybaracards/" TargetMode="External"/><Relationship Id="rId392" Type="http://schemas.openxmlformats.org/officeDocument/2006/relationships/hyperlink" Target="https://www.instagram.com/card_alliance_hq" TargetMode="External"/><Relationship Id="rId393" Type="http://schemas.openxmlformats.org/officeDocument/2006/relationships/hyperlink" Target="https://www.instagram.com/card_alliance_hq/" TargetMode="External"/><Relationship Id="rId394" Type="http://schemas.openxmlformats.org/officeDocument/2006/relationships/hyperlink" Target="https://www.facebook.com/cardconnectsg" TargetMode="External"/><Relationship Id="rId395" Type="http://schemas.openxmlformats.org/officeDocument/2006/relationships/hyperlink" Target="https://www.google.com/maps/search/?api=1&amp;query=Card+Connect+Singapore+Singapour" TargetMode="External"/><Relationship Id="rId396" Type="http://schemas.openxmlformats.org/officeDocument/2006/relationships/hyperlink" Target="https://www.facebook.com/cardconnectsg/" TargetMode="External"/><Relationship Id="rId397" Type="http://schemas.openxmlformats.org/officeDocument/2006/relationships/hyperlink" Target="https://www.facebook.com/CardNationSG" TargetMode="External"/><Relationship Id="rId398" Type="http://schemas.openxmlformats.org/officeDocument/2006/relationships/hyperlink" Target="https://www.google.com/maps/search/?api=1&amp;query=Card+Nation+Singapore+Singapour" TargetMode="External"/><Relationship Id="rId399" Type="http://schemas.openxmlformats.org/officeDocument/2006/relationships/hyperlink" Target="https://www.facebook.com/CardNationSG/" TargetMode="External"/><Relationship Id="rId400" Type="http://schemas.openxmlformats.org/officeDocument/2006/relationships/hyperlink" Target="https://www.google.com/maps/search/?api=1&amp;query=Cardboard+Crack+Games+Beauty+World+Centre%2C+144+Upper+Bukit+Timah+Road+%2303-28+Singapour" TargetMode="External"/><Relationship Id="rId401" Type="http://schemas.openxmlformats.org/officeDocument/2006/relationships/hyperlink" Target="https://tcgtalk.com/guides/pokemon-tcg-shops-singapore" TargetMode="External"/><Relationship Id="rId402" Type="http://schemas.openxmlformats.org/officeDocument/2006/relationships/hyperlink" Target="https://www.facebook.com/singaporelocalshop" TargetMode="External"/><Relationship Id="rId403" Type="http://schemas.openxmlformats.org/officeDocument/2006/relationships/hyperlink" Target="https://www.google.com/maps/search/?api=1&amp;query=Cards+Citadel+10+North+Bridge+Road+%2302-5117%2C+Singapore+Singapour" TargetMode="External"/><Relationship Id="rId404" Type="http://schemas.openxmlformats.org/officeDocument/2006/relationships/hyperlink" Target="https://www.facebook.com/singaporelocalshop/" TargetMode="External"/><Relationship Id="rId405" Type="http://schemas.openxmlformats.org/officeDocument/2006/relationships/hyperlink" Target="https://www.facebook.com/cardshacksg" TargetMode="External"/><Relationship Id="rId406" Type="http://schemas.openxmlformats.org/officeDocument/2006/relationships/hyperlink" Target="https://www.google.com/maps/search/?api=1&amp;query=Cardshack+SG+3+Temasek+Boulevard+%28Suntec+City%29+plus+other+machine+locations+Singapour" TargetMode="External"/><Relationship Id="rId407" Type="http://schemas.openxmlformats.org/officeDocument/2006/relationships/hyperlink" Target="https://www.facebook.com/cardshacksg/" TargetMode="External"/><Relationship Id="rId408" Type="http://schemas.openxmlformats.org/officeDocument/2006/relationships/hyperlink" Target="https://www.instagram.com/cc_collectibles_sg" TargetMode="External"/><Relationship Id="rId409" Type="http://schemas.openxmlformats.org/officeDocument/2006/relationships/hyperlink" Target="https://www.instagram.com/cc_collectibles_sg/" TargetMode="External"/><Relationship Id="rId410" Type="http://schemas.openxmlformats.org/officeDocument/2006/relationships/hyperlink" Target="https://www.instagram.com/conformity.tcg" TargetMode="External"/><Relationship Id="rId411" Type="http://schemas.openxmlformats.org/officeDocument/2006/relationships/hyperlink" Target="https://www.google.com/maps/search/?api=1&amp;query=Conformity+TCG+Singapore+Singapour" TargetMode="External"/><Relationship Id="rId412" Type="http://schemas.openxmlformats.org/officeDocument/2006/relationships/hyperlink" Target="https://www.instagram.com/conformity.tcg/" TargetMode="External"/><Relationship Id="rId413" Type="http://schemas.openxmlformats.org/officeDocument/2006/relationships/hyperlink" Target="https://www.google.com/maps/search/?api=1&amp;query=Cosmic+Vault+Blk+928+Yishun+Central+1%2C+%2301-145%2C+Singapore+Singapour" TargetMode="External"/><Relationship Id="rId414" Type="http://schemas.openxmlformats.org/officeDocument/2006/relationships/hyperlink" Target="https://tcgtalk.com/guides/pokemon-tcg-shops-singapore" TargetMode="External"/><Relationship Id="rId415" Type="http://schemas.openxmlformats.org/officeDocument/2006/relationships/hyperlink" Target="https://www.google.com/maps/search/?api=1&amp;query=Excel+CS+846+Yishun+Ring+Road%2C+%2301-3673%2C+Singapore+760846+%28Khatib%29+Singapour" TargetMode="External"/><Relationship Id="rId416" Type="http://schemas.openxmlformats.org/officeDocument/2006/relationships/hyperlink" Target="https://tcgtalk.com/guides/pokemon-tcg-shops-singapore" TargetMode="External"/><Relationship Id="rId417" Type="http://schemas.openxmlformats.org/officeDocument/2006/relationships/hyperlink" Target="https://www.google.com/maps/search/?api=1&amp;query=Flagship+Games+214+Bishan+Street+23%2C+%23B1-223%2C+Singapore+Singapour" TargetMode="External"/><Relationship Id="rId418" Type="http://schemas.openxmlformats.org/officeDocument/2006/relationships/hyperlink" Target="https://tcgtalk.com/guides/pokemon-tcg-shops-singapore" TargetMode="External"/><Relationship Id="rId419" Type="http://schemas.openxmlformats.org/officeDocument/2006/relationships/hyperlink" Target="https://www.instagram.com/forfun_tcg" TargetMode="External"/><Relationship Id="rId420" Type="http://schemas.openxmlformats.org/officeDocument/2006/relationships/hyperlink" Target="https://www.google.com/maps/search/?api=1&amp;query=ForFunTCG+Card+fairs+Singapour" TargetMode="External"/><Relationship Id="rId421" Type="http://schemas.openxmlformats.org/officeDocument/2006/relationships/hyperlink" Target="https://tcgtalk.com/guides/singapore-tcg-event-vendor-directory" TargetMode="External"/><Relationship Id="rId422" Type="http://schemas.openxmlformats.org/officeDocument/2006/relationships/hyperlink" Target="https://www.instagram.com/fulfillmenttcg" TargetMode="External"/><Relationship Id="rId423" Type="http://schemas.openxmlformats.org/officeDocument/2006/relationships/hyperlink" Target="https://www.instagram.com/fulfillmenttcg/" TargetMode="External"/><Relationship Id="rId424" Type="http://schemas.openxmlformats.org/officeDocument/2006/relationships/hyperlink" Target="https://www.instagram.com/gengapullz" TargetMode="External"/><Relationship Id="rId425" Type="http://schemas.openxmlformats.org/officeDocument/2006/relationships/hyperlink" Target="https://www.google.com/maps/search/?api=1&amp;query=gengapullz+Card+fairs+Singapour" TargetMode="External"/><Relationship Id="rId426" Type="http://schemas.openxmlformats.org/officeDocument/2006/relationships/hyperlink" Target="https://tcgtalk.com/guides/singapore-tcg-event-vendor-directory" TargetMode="External"/><Relationship Id="rId427" Type="http://schemas.openxmlformats.org/officeDocument/2006/relationships/hyperlink" Target="https://www.instagram.com/gungarstudiotcgsg" TargetMode="External"/><Relationship Id="rId428" Type="http://schemas.openxmlformats.org/officeDocument/2006/relationships/hyperlink" Target="https://tcgtalk.com/guides/singapore-tcg-event-vendor-directory" TargetMode="External"/><Relationship Id="rId429" Type="http://schemas.openxmlformats.org/officeDocument/2006/relationships/hyperlink" Target="https://www.google.com/maps/search/?api=1&amp;query=Inferno+Gaming+Toa+Payoh+Singapour" TargetMode="External"/><Relationship Id="rId430" Type="http://schemas.openxmlformats.org/officeDocument/2006/relationships/hyperlink" Target="https://tcgtalk.com/guides/pokemon-tcg-shops-singapore" TargetMode="External"/><Relationship Id="rId431" Type="http://schemas.openxmlformats.org/officeDocument/2006/relationships/hyperlink" Target="https://www.instagram.com/jammtcg" TargetMode="External"/><Relationship Id="rId432" Type="http://schemas.openxmlformats.org/officeDocument/2006/relationships/hyperlink" Target="https://www.google.com/maps/search/?api=1&amp;query=JammTCG+Card+fairs+Singapour" TargetMode="External"/><Relationship Id="rId433" Type="http://schemas.openxmlformats.org/officeDocument/2006/relationships/hyperlink" Target="https://tcgtalk.com/guides/singapore-tcg-event-vendor-directory" TargetMode="External"/><Relationship Id="rId434" Type="http://schemas.openxmlformats.org/officeDocument/2006/relationships/hyperlink" Target="https://www.google.com/maps/search/?api=1&amp;query=Jeux+Kingdom+Orchard+Plaza%2C+150+Orchard+Road+%2304-36%2C+Singapore+Singapour" TargetMode="External"/><Relationship Id="rId435" Type="http://schemas.openxmlformats.org/officeDocument/2006/relationships/hyperlink" Target="https://tcgtalk.com/guides/pokemon-tcg-shops-singapore" TargetMode="External"/><Relationship Id="rId436" Type="http://schemas.openxmlformats.org/officeDocument/2006/relationships/hyperlink" Target="https://www.carousell.sg/hobbies-toys/toys-games/pokemon-booster-box-english/q-12/" TargetMode="External"/><Relationship Id="rId437" Type="http://schemas.openxmlformats.org/officeDocument/2006/relationships/hyperlink" Target="https://www.instagram.com/kodomocollection" TargetMode="External"/><Relationship Id="rId438" Type="http://schemas.openxmlformats.org/officeDocument/2006/relationships/hyperlink" Target="https://www.google.com/maps/search/?api=1&amp;query=Kodomo+Collectibles+Card+fairs+%2F+tournaments+%2F+prereleases+Singapour" TargetMode="External"/><Relationship Id="rId439" Type="http://schemas.openxmlformats.org/officeDocument/2006/relationships/hyperlink" Target="https://tcgtalk.com/guides/singapore-tcg-event-vendor-directory" TargetMode="External"/><Relationship Id="rId440" Type="http://schemas.openxmlformats.org/officeDocument/2006/relationships/hyperlink" Target="https://www.carousell.sg/hobbies-toys/toys-games/japanese-pokemon-box/q-12/" TargetMode="External"/><Relationship Id="rId441" Type="http://schemas.openxmlformats.org/officeDocument/2006/relationships/hyperlink" Target="https://www.instagram.com/lunatcg.sg" TargetMode="External"/><Relationship Id="rId442" Type="http://schemas.openxmlformats.org/officeDocument/2006/relationships/hyperlink" Target="https://www.google.com/maps/search/?api=1&amp;query=Luna+TCG+Card+fairs+Singapour" TargetMode="External"/><Relationship Id="rId443" Type="http://schemas.openxmlformats.org/officeDocument/2006/relationships/hyperlink" Target="https://tcgtalk.com/guides/singapore-tcg-event-vendor-directory" TargetMode="External"/><Relationship Id="rId444" Type="http://schemas.openxmlformats.org/officeDocument/2006/relationships/hyperlink" Target="https://www.google.com/maps/search/?api=1&amp;query=Lunar+Toys+N+Games+26+New+Upper+Changi+Road%2C+%2301-664%2C+Singapore+Singapour" TargetMode="External"/><Relationship Id="rId445" Type="http://schemas.openxmlformats.org/officeDocument/2006/relationships/hyperlink" Target="https://tcgtalk.com/guides/pokemon-tcg-shops-singapore" TargetMode="External"/><Relationship Id="rId446" Type="http://schemas.openxmlformats.org/officeDocument/2006/relationships/hyperlink" Target="https://shopee.sg/blog/best-pokemon-cards-singapore/" TargetMode="External"/><Relationship Id="rId447" Type="http://schemas.openxmlformats.org/officeDocument/2006/relationships/hyperlink" Target="https://www.instagram.com/nil_tcg" TargetMode="External"/><Relationship Id="rId448" Type="http://schemas.openxmlformats.org/officeDocument/2006/relationships/hyperlink" Target="https://www.google.com/maps/search/?api=1&amp;query=NIL+TCG+Card+fairs+Singapour" TargetMode="External"/><Relationship Id="rId449" Type="http://schemas.openxmlformats.org/officeDocument/2006/relationships/hyperlink" Target="https://tcgtalk.com/guides/singapore-tcg-event-vendor-directory" TargetMode="External"/><Relationship Id="rId450" Type="http://schemas.openxmlformats.org/officeDocument/2006/relationships/hyperlink" Target="https://www.instagram.com/pkmk.tcg" TargetMode="External"/><Relationship Id="rId451" Type="http://schemas.openxmlformats.org/officeDocument/2006/relationships/hyperlink" Target="https://www.google.com/maps/search/?api=1&amp;query=Pkmk.tcg+73+Ubi+Road+1%2C+%2310-52%2C+Singapore+408733+Singapour" TargetMode="External"/><Relationship Id="rId452" Type="http://schemas.openxmlformats.org/officeDocument/2006/relationships/hyperlink" Target="https://www.instagram.com/pkmk.tcg/" TargetMode="External"/><Relationship Id="rId453" Type="http://schemas.openxmlformats.org/officeDocument/2006/relationships/hyperlink" Target="https://www.instagram.com/pokebrosg" TargetMode="External"/><Relationship Id="rId454" Type="http://schemas.openxmlformats.org/officeDocument/2006/relationships/hyperlink" Target="https://www.google.com/maps/search/?api=1&amp;query=PokeBroSG+Card+fairs+Singapour" TargetMode="External"/><Relationship Id="rId455" Type="http://schemas.openxmlformats.org/officeDocument/2006/relationships/hyperlink" Target="https://tcgtalk.com/guides/singapore-tcg-event-vendor-directory" TargetMode="External"/><Relationship Id="rId456" Type="http://schemas.openxmlformats.org/officeDocument/2006/relationships/hyperlink" Target="https://www.instagram.com/polymontcg" TargetMode="External"/><Relationship Id="rId457" Type="http://schemas.openxmlformats.org/officeDocument/2006/relationships/hyperlink" Target="https://www.google.com/maps/search/?api=1&amp;query=Polymon+Card+fairs+Singapour" TargetMode="External"/><Relationship Id="rId458" Type="http://schemas.openxmlformats.org/officeDocument/2006/relationships/hyperlink" Target="https://tcgtalk.com/guides/singapore-tcg-event-vendor-directory" TargetMode="External"/><Relationship Id="rId459" Type="http://schemas.openxmlformats.org/officeDocument/2006/relationships/hyperlink" Target="https://shopee.sg/blog/best-pokemon-cards-singapore/" TargetMode="External"/><Relationship Id="rId460" Type="http://schemas.openxmlformats.org/officeDocument/2006/relationships/hyperlink" Target="https://www.instagram.com/retrogen.collectibles" TargetMode="External"/><Relationship Id="rId461" Type="http://schemas.openxmlformats.org/officeDocument/2006/relationships/hyperlink" Target="https://www.google.com/maps/search/?api=1&amp;query=Retrogenerations+Card+fairs+Singapour" TargetMode="External"/><Relationship Id="rId462" Type="http://schemas.openxmlformats.org/officeDocument/2006/relationships/hyperlink" Target="https://tcgtalk.com/guides/singapore-tcg-event-vendor-directory" TargetMode="External"/><Relationship Id="rId463" Type="http://schemas.openxmlformats.org/officeDocument/2006/relationships/hyperlink" Target="https://www.google.com/maps/search/?api=1&amp;query=Sanctuary+Gaming+Orchard+Gateway%2C+277+Orchard+Road+Singapour" TargetMode="External"/><Relationship Id="rId464" Type="http://schemas.openxmlformats.org/officeDocument/2006/relationships/hyperlink" Target="https://tcgtalk.com/guides/pokemon-tcg-shops-singapore" TargetMode="External"/><Relationship Id="rId465" Type="http://schemas.openxmlformats.org/officeDocument/2006/relationships/hyperlink" Target="https://www.instagram.com/sidequestsgco" TargetMode="External"/><Relationship Id="rId466" Type="http://schemas.openxmlformats.org/officeDocument/2006/relationships/hyperlink" Target="https://www.google.com/maps/search/?api=1&amp;query=Sidequest+Card+fairs+Singapour" TargetMode="External"/><Relationship Id="rId467" Type="http://schemas.openxmlformats.org/officeDocument/2006/relationships/hyperlink" Target="https://tcgtalk.com/guides/singapore-tcg-event-vendor-directory" TargetMode="External"/><Relationship Id="rId468" Type="http://schemas.openxmlformats.org/officeDocument/2006/relationships/hyperlink" Target="https://www.instagram.com/sj_tcg" TargetMode="External"/><Relationship Id="rId469" Type="http://schemas.openxmlformats.org/officeDocument/2006/relationships/hyperlink" Target="https://www.google.com/maps/search/?api=1&amp;query=SJ+Hobby+Vending+machines+at+Marine+Parade%2C+Woodlands%2C+Orchard%2C+Katong+Park%2C+Hougang+Singapour" TargetMode="External"/><Relationship Id="rId470" Type="http://schemas.openxmlformats.org/officeDocument/2006/relationships/hyperlink" Target="https://www.instagram.com/sj_tcg/" TargetMode="External"/><Relationship Id="rId471" Type="http://schemas.openxmlformats.org/officeDocument/2006/relationships/hyperlink" Target="https://www.instagram.com/stacknsnacksg" TargetMode="External"/><Relationship Id="rId472" Type="http://schemas.openxmlformats.org/officeDocument/2006/relationships/hyperlink" Target="https://www.google.com/maps/search/?api=1&amp;query=Stack+%26+Snack+Card+fairs+Singapour" TargetMode="External"/><Relationship Id="rId473" Type="http://schemas.openxmlformats.org/officeDocument/2006/relationships/hyperlink" Target="https://tcgtalk.com/guides/singapore-tcg-event-vendor-directory" TargetMode="External"/><Relationship Id="rId474" Type="http://schemas.openxmlformats.org/officeDocument/2006/relationships/hyperlink" Target="https://shopee.sg/blog/best-pokemon-cards-singapore/" TargetMode="External"/><Relationship Id="rId475" Type="http://schemas.openxmlformats.org/officeDocument/2006/relationships/hyperlink" Target="https://www.facebook.com/theimaginariumsg" TargetMode="External"/><Relationship Id="rId476" Type="http://schemas.openxmlformats.org/officeDocument/2006/relationships/hyperlink" Target="https://www.google.com/maps/search/?api=1&amp;query=The+Imaginarium+Singapore+Singapour" TargetMode="External"/><Relationship Id="rId477" Type="http://schemas.openxmlformats.org/officeDocument/2006/relationships/hyperlink" Target="https://www.facebook.com/theimaginariumsg/" TargetMode="External"/><Relationship Id="rId478" Type="http://schemas.openxmlformats.org/officeDocument/2006/relationships/hyperlink" Target="https://www.instagram.com/tigervaulttcg" TargetMode="External"/><Relationship Id="rId479" Type="http://schemas.openxmlformats.org/officeDocument/2006/relationships/hyperlink" Target="https://www.google.com/maps/search/?api=1&amp;query=Tiger+Vault+TCG+Excelsior+Shopping+Centre%2C+Coleman+Street%2C+Singapore+Singapour" TargetMode="External"/><Relationship Id="rId480" Type="http://schemas.openxmlformats.org/officeDocument/2006/relationships/hyperlink" Target="https://www.instagram.com/tigervaulttcg/" TargetMode="External"/><Relationship Id="rId481" Type="http://schemas.openxmlformats.org/officeDocument/2006/relationships/hyperlink" Target="https://www.carousell.sg/hobbies-toys/toys-games/japanese-pokemon-box/q-12/" TargetMode="External"/><Relationship Id="rId482" Type="http://schemas.openxmlformats.org/officeDocument/2006/relationships/hyperlink" Target="https://www.instagram.com/ttm.tcg" TargetMode="External"/><Relationship Id="rId483" Type="http://schemas.openxmlformats.org/officeDocument/2006/relationships/hyperlink" Target="https://www.google.com/maps/search/?api=1&amp;query=TTM.TCG+Card+fairs+Singapour" TargetMode="External"/><Relationship Id="rId484" Type="http://schemas.openxmlformats.org/officeDocument/2006/relationships/hyperlink" Target="https://tcgtalk.com/guides/singapore-tcg-event-vendor-directory" TargetMode="External"/><Relationship Id="rId485" Type="http://schemas.openxmlformats.org/officeDocument/2006/relationships/hyperlink" Target="https://www.google.com/maps/search/?api=1&amp;query=Utopia+Games+Blk+254+Bishan+Street+22%2C+%23B1-444%2C+Singapore+Singapour" TargetMode="External"/><Relationship Id="rId486" Type="http://schemas.openxmlformats.org/officeDocument/2006/relationships/hyperlink" Target="https://tcgtalk.com/guides/pokemon-tcg-shops-singapore" TargetMode="External"/><Relationship Id="rId487" Type="http://schemas.openxmlformats.org/officeDocument/2006/relationships/hyperlink" Target="https://www.google.com/maps/search/?api=1&amp;query=Yukai+Collectibles+61+Ubi+Road+1%2C+%2304-17%2C+Singapore+Singapour" TargetMode="External"/><Relationship Id="rId488" Type="http://schemas.openxmlformats.org/officeDocument/2006/relationships/hyperlink" Target="https://tcgtalk.com/guides/pokemon-tcg-shops-singapore" TargetMode="External"/><Relationship Id="rId489" Type="http://schemas.openxmlformats.org/officeDocument/2006/relationships/hyperlink" Target="https://www.google.com/maps/search/?api=1&amp;query=Black+Label+TCG+Serangoon+North+Avenue+Singapour" TargetMode="External"/><Relationship Id="rId490" Type="http://schemas.openxmlformats.org/officeDocument/2006/relationships/hyperlink" Target="https://tcgtalk.com/guides/pokemon-tcg-shops-singapore" TargetMode="External"/><Relationship Id="rId491" Type="http://schemas.openxmlformats.org/officeDocument/2006/relationships/hyperlink" Target="https://www.google.com/maps/search/?api=1&amp;query=DEKTCGShop+Singapore+Singapour" TargetMode="External"/><Relationship Id="rId492" Type="http://schemas.openxmlformats.org/officeDocument/2006/relationships/hyperlink" Target="https://tcgtalk.com/blog/complete-pokemon-tcg-products-guide-singapore-collectors-2025-1766156861401" TargetMode="External"/><Relationship Id="rId493" Type="http://schemas.openxmlformats.org/officeDocument/2006/relationships/hyperlink" Target="https://www.google.com/maps/search/?api=1&amp;query=Full-Yen+Trading+Choa+Chu+Kang+Singapour" TargetMode="External"/><Relationship Id="rId494" Type="http://schemas.openxmlformats.org/officeDocument/2006/relationships/hyperlink" Target="https://thesmartlocal.com/read/guide-to-pokemon-cards-in-singapore/" TargetMode="External"/><Relationship Id="rId495" Type="http://schemas.openxmlformats.org/officeDocument/2006/relationships/hyperlink" Target="https://www.google.com/maps/search/?api=1&amp;query=Matt%27s+Vault+Tai+Seng+Singapour" TargetMode="External"/><Relationship Id="rId496" Type="http://schemas.openxmlformats.org/officeDocument/2006/relationships/hyperlink" Target="https://thesmartlocal.com/read/guide-to-pokemon-cards-in-singapore/" TargetMode="External"/><Relationship Id="rId497" Type="http://schemas.openxmlformats.org/officeDocument/2006/relationships/hyperlink" Target="https://www.google.com/maps/search/?api=1&amp;query=Millenium+Game+World+%28MGW%29+18+Boon+Lay+Way+%2310-98%2C+Singapore+Singapour" TargetMode="External"/><Relationship Id="rId498" Type="http://schemas.openxmlformats.org/officeDocument/2006/relationships/hyperlink" Target="https://tcgtalk.com/guides/pokemon-tcg-shops-singapore" TargetMode="External"/><Relationship Id="rId499" Type="http://schemas.openxmlformats.org/officeDocument/2006/relationships/hyperlink" Target="https://www.google.com/maps/search/?api=1&amp;query=UNC+Kenny%27s+Card+Shop+Singapore+Singapour" TargetMode="External"/><Relationship Id="rId500" Type="http://schemas.openxmlformats.org/officeDocument/2006/relationships/hyperlink" Target="https://www.tiktok.com/discover/pokemon-card-live-singapore?lang=en" TargetMode="External"/><Relationship Id="rId501" Type="http://schemas.openxmlformats.org/officeDocument/2006/relationships/hyperlink" Target="https://www.google.com/maps/search/?api=1&amp;query=West+Daimonji+Collectibles+Clementi+Singapour" TargetMode="External"/><Relationship Id="rId502" Type="http://schemas.openxmlformats.org/officeDocument/2006/relationships/hyperlink" Target="https://thesmartlocal.com/read/guide-to-pokemon-cards-in-singapore/" TargetMode="External"/><Relationship Id="rId503" Type="http://schemas.openxmlformats.org/officeDocument/2006/relationships/hyperlink" Target="https://www.instagram.com/akg.entertainment" TargetMode="External"/><Relationship Id="rId504" Type="http://schemas.openxmlformats.org/officeDocument/2006/relationships/hyperlink" Target="https://www.instagram.com/akg.entertainment/" TargetMode="External"/><Relationship Id="rId505" Type="http://schemas.openxmlformats.org/officeDocument/2006/relationships/hyperlink" Target="https://www.google.com/maps/search/?api=1&amp;query=Kidz+Station+Jakarta+Indon&#233;sie" TargetMode="External"/><Relationship Id="rId506" Type="http://schemas.openxmlformats.org/officeDocument/2006/relationships/hyperlink" Target="https://www.playbite.com/q/where-to-buy-pokemon-cards-in-jakarta" TargetMode="External"/><Relationship Id="rId507" Type="http://schemas.openxmlformats.org/officeDocument/2006/relationships/hyperlink" Target="https://www.tokopedia.com/psenterprise/page/6?perpage=20" TargetMode="External"/><Relationship Id="rId508" Type="http://schemas.openxmlformats.org/officeDocument/2006/relationships/hyperlink" Target="https://www.tokopedia.com/sakurastorejakarta/product" TargetMode="External"/><Relationship Id="rId509" Type="http://schemas.openxmlformats.org/officeDocument/2006/relationships/hyperlink" Target="https://www.ruparupa.com/toyskingdomonline" TargetMode="External"/><Relationship Id="rId510" Type="http://schemas.openxmlformats.org/officeDocument/2006/relationships/hyperlink" Target="https://www.google.com/maps/search/?api=1&amp;query=Toys+Kingdom+Outlets+incl.+Tunjungan+Plaza%2C+Supermal+Pakuwon%2C+Galaxy+Mall+1%2C+Plaza+Surabaya+%28Surabaya%29%3B+Center+Point%2C+Deli+Park+%28Medan%29%3B+Living+World+Denpasar%2C+Bali+Galeria+%28Bali%29%3" TargetMode="External"/><Relationship Id="rId511" Type="http://schemas.openxmlformats.org/officeDocument/2006/relationships/hyperlink" Target="https://www.ruparupa.com/toyskingdomonline/jual/kartu-pokemon" TargetMode="External"/><Relationship Id="rId512" Type="http://schemas.openxmlformats.org/officeDocument/2006/relationships/hyperlink" Target="https://www.instagram.com/bgs_bandung62" TargetMode="External"/><Relationship Id="rId513" Type="http://schemas.openxmlformats.org/officeDocument/2006/relationships/hyperlink" Target="https://www.tiktok.com/@brotherhoodgamestorebdg" TargetMode="External"/><Relationship Id="rId514" Type="http://schemas.openxmlformats.org/officeDocument/2006/relationships/hyperlink" Target="https://www.google.com/maps/search/?api=1&amp;query=Brotherhood+Game+Store+Bandung+Jl.+Suryasumantri+No.62A%2C+Bandung+Indon&#233;sie" TargetMode="External"/><Relationship Id="rId515" Type="http://schemas.openxmlformats.org/officeDocument/2006/relationships/hyperlink" Target="https://www.instagram.com/bgs_bandung62/" TargetMode="External"/><Relationship Id="rId516" Type="http://schemas.openxmlformats.org/officeDocument/2006/relationships/hyperlink" Target="https://www.tokopedia.com/gshock-8888/etalase/sv6s" TargetMode="External"/><Relationship Id="rId517" Type="http://schemas.openxmlformats.org/officeDocument/2006/relationships/hyperlink" Target="https://geekingout.id/" TargetMode="External"/><Relationship Id="rId518" Type="http://schemas.openxmlformats.org/officeDocument/2006/relationships/hyperlink" Target="https://geekingout.id/" TargetMode="External"/><Relationship Id="rId519" Type="http://schemas.openxmlformats.org/officeDocument/2006/relationships/hyperlink" Target="https://www.instagram.com/nimitzcards" TargetMode="External"/><Relationship Id="rId520" Type="http://schemas.openxmlformats.org/officeDocument/2006/relationships/hyperlink" Target="https://www.google.com/maps/search/?api=1&amp;query=Nimitz+Cards+Jakarta+Indon&#233;sie" TargetMode="External"/><Relationship Id="rId521" Type="http://schemas.openxmlformats.org/officeDocument/2006/relationships/hyperlink" Target="https://cgccards.com/news/article/13405" TargetMode="External"/><Relationship Id="rId522" Type="http://schemas.openxmlformats.org/officeDocument/2006/relationships/hyperlink" Target="https://www.tokopedia.com/find/kartu-pokemon-box-jepang" TargetMode="External"/><Relationship Id="rId523" Type="http://schemas.openxmlformats.org/officeDocument/2006/relationships/hyperlink" Target="https://www.instagram.com/lvl100pokestore.id" TargetMode="External"/><Relationship Id="rId524" Type="http://schemas.openxmlformats.org/officeDocument/2006/relationships/hyperlink" Target="https://www.instagram.com/lvl100pokestore.id/" TargetMode="External"/><Relationship Id="rId525" Type="http://schemas.openxmlformats.org/officeDocument/2006/relationships/hyperlink" Target="https://www.instagram.com/pokehuntid" TargetMode="External"/><Relationship Id="rId526" Type="http://schemas.openxmlformats.org/officeDocument/2006/relationships/hyperlink" Target="https://www.instagram.com/pokehuntid/" TargetMode="External"/><Relationship Id="rId527" Type="http://schemas.openxmlformats.org/officeDocument/2006/relationships/hyperlink" Target="https://www.tokopedia.com/pokedoy/product" TargetMode="External"/><Relationship Id="rId528" Type="http://schemas.openxmlformats.org/officeDocument/2006/relationships/hyperlink" Target="https://www.tokopedia.com/charizardmafiastore/etalase/sold" TargetMode="External"/><Relationship Id="rId529" Type="http://schemas.openxmlformats.org/officeDocument/2006/relationships/hyperlink" Target="https://www.pocattotcg.com/" TargetMode="External"/><Relationship Id="rId530" Type="http://schemas.openxmlformats.org/officeDocument/2006/relationships/hyperlink" Target="https://www.instagram.com/pocatto_tcg" TargetMode="External"/><Relationship Id="rId531" Type="http://schemas.openxmlformats.org/officeDocument/2006/relationships/hyperlink" Target="https://www.instagram.com/pocatto_tcg/" TargetMode="External"/><Relationship Id="rId532" Type="http://schemas.openxmlformats.org/officeDocument/2006/relationships/hyperlink" Target="https://www.tokopedia.com/voq/etalase/pokemon-sr-ssr" TargetMode="External"/><Relationship Id="rId533" Type="http://schemas.openxmlformats.org/officeDocument/2006/relationships/hyperlink" Target="https://www.instagram.com/gerberas.corner" TargetMode="External"/><Relationship Id="rId534" Type="http://schemas.openxmlformats.org/officeDocument/2006/relationships/hyperlink" Target="https://www.google.com/maps/search/?api=1&amp;query=Gerbera%27s+Corner+Indon&#233;sie" TargetMode="External"/><Relationship Id="rId535" Type="http://schemas.openxmlformats.org/officeDocument/2006/relationships/hyperlink" Target="https://www.instagram.com/gerberas.corner/" TargetMode="External"/><Relationship Id="rId536" Type="http://schemas.openxmlformats.org/officeDocument/2006/relationships/hyperlink" Target="https://www.instagram.com/indopokemart" TargetMode="External"/><Relationship Id="rId537" Type="http://schemas.openxmlformats.org/officeDocument/2006/relationships/hyperlink" Target="https://www.instagram.com/indopokemart/" TargetMode="External"/><Relationship Id="rId538" Type="http://schemas.openxmlformats.org/officeDocument/2006/relationships/hyperlink" Target="https://www.instagram.com/kado.asia" TargetMode="External"/><Relationship Id="rId539" Type="http://schemas.openxmlformats.org/officeDocument/2006/relationships/hyperlink" Target="https://www.instagram.com/kado.asia/" TargetMode="External"/><Relationship Id="rId540" Type="http://schemas.openxmlformats.org/officeDocument/2006/relationships/hyperlink" Target="https://www.tokopedia.com/find/pokemon-card-sar-japan" TargetMode="External"/><Relationship Id="rId541" Type="http://schemas.openxmlformats.org/officeDocument/2006/relationships/hyperlink" Target="https://www.instagram.com/pyokkemontcg" TargetMode="External"/><Relationship Id="rId542" Type="http://schemas.openxmlformats.org/officeDocument/2006/relationships/hyperlink" Target="https://www.instagram.com/pyokkemontcg/" TargetMode="External"/><Relationship Id="rId543" Type="http://schemas.openxmlformats.org/officeDocument/2006/relationships/hyperlink" Target="https://www.tokopedia.com/tangguhman-toys/kartu-tcg-pokemon-indonesia-booster-pack-original-all-series-s9a" TargetMode="External"/><Relationship Id="rId544" Type="http://schemas.openxmlformats.org/officeDocument/2006/relationships/hyperlink" Target="https://www.instagram.com/ruangdankartu" TargetMode="External"/><Relationship Id="rId545" Type="http://schemas.openxmlformats.org/officeDocument/2006/relationships/hyperlink" Target="https://www.google.com/maps/search/?api=1&amp;query=Ruang+dan+Kartu+TCG+Kopi+Ruang+Publik%2C+Jl.+Dewi+Sartika+No.49A%2C+Bandung+Indon&#233;sie" TargetMode="External"/><Relationship Id="rId546" Type="http://schemas.openxmlformats.org/officeDocument/2006/relationships/hyperlink" Target="https://www.instagram.com/ruangdankartu/" TargetMode="External"/><Relationship Id="rId547" Type="http://schemas.openxmlformats.org/officeDocument/2006/relationships/hyperlink" Target="https://www.instagram.com/blesshop_tcg" TargetMode="External"/><Relationship Id="rId548" Type="http://schemas.openxmlformats.org/officeDocument/2006/relationships/hyperlink" Target="https://www.instagram.com/blesshop_tcg/" TargetMode="External"/><Relationship Id="rId549" Type="http://schemas.openxmlformats.org/officeDocument/2006/relationships/hyperlink" Target="https://www.tokopedia.com/find/kartu-set-pokemon-indomaret" TargetMode="External"/><Relationship Id="rId550" Type="http://schemas.openxmlformats.org/officeDocument/2006/relationships/hyperlink" Target="https://www.instagram.com/jakartapokemonstore" TargetMode="External"/><Relationship Id="rId551" Type="http://schemas.openxmlformats.org/officeDocument/2006/relationships/hyperlink" Target="https://www.instagram.com/jakartapokemonstore/" TargetMode="External"/><Relationship Id="rId552" Type="http://schemas.openxmlformats.org/officeDocument/2006/relationships/hyperlink" Target="https://www.tokopedia.com/mrshevastore/destined-rivals-booster-box-sv10-18ct-pokemon-english-18-booster-1731574790966249462" TargetMode="External"/><Relationship Id="rId553" Type="http://schemas.openxmlformats.org/officeDocument/2006/relationships/hyperlink" Target="https://www.tokopedia.com/find/kartu-pokemon-box-asli" TargetMode="External"/><Relationship Id="rId554" Type="http://schemas.openxmlformats.org/officeDocument/2006/relationships/hyperlink" Target="https://www.tokopedia.com/find/secret-box-pokemon-tcg" TargetMode="External"/><Relationship Id="rId555" Type="http://schemas.openxmlformats.org/officeDocument/2006/relationships/hyperlink" Target="https://www.tokopedia.com/find/kartu-pokemon-indomaret" TargetMode="External"/><Relationship Id="rId556" Type="http://schemas.openxmlformats.org/officeDocument/2006/relationships/hyperlink" Target="https://www.tokopedia.com/find/pokemon-booster-box-english" TargetMode="External"/><Relationship Id="rId557" Type="http://schemas.openxmlformats.org/officeDocument/2006/relationships/hyperlink" Target="https://www.tokopedia.com/find/tcg-pokemon-1-box" TargetMode="External"/><Relationship Id="rId558" Type="http://schemas.openxmlformats.org/officeDocument/2006/relationships/hyperlink" Target="https://www.instagram.com/littleroottown.id" TargetMode="External"/><Relationship Id="rId559" Type="http://schemas.openxmlformats.org/officeDocument/2006/relationships/hyperlink" Target="https://www.google.com/maps/search/?api=1&amp;query=Littleroot+Town+-+Pok&#233;mon+Gym+Shop+Tomang%2C+West+Jakarta+Indon&#233;sie" TargetMode="External"/><Relationship Id="rId560" Type="http://schemas.openxmlformats.org/officeDocument/2006/relationships/hyperlink" Target="https://www.instagram.com/littleroottown.id/" TargetMode="External"/><Relationship Id="rId561" Type="http://schemas.openxmlformats.org/officeDocument/2006/relationships/hyperlink" Target="https://www.instagram.com/sultanpokebab_" TargetMode="External"/><Relationship Id="rId562" Type="http://schemas.openxmlformats.org/officeDocument/2006/relationships/hyperlink" Target="https://www.google.com/maps/search/?api=1&amp;query=Local+Game+Store+Tanjung+Duren+%28Sultan+Pokebab%29+Tanjung+Duren%2C+West+Jakarta+Indon&#233;sie" TargetMode="External"/><Relationship Id="rId563" Type="http://schemas.openxmlformats.org/officeDocument/2006/relationships/hyperlink" Target="https://www.instagram.com/sultanpokebab_/" TargetMode="External"/><Relationship Id="rId564" Type="http://schemas.openxmlformats.org/officeDocument/2006/relationships/hyperlink" Target="https://www.tokopedia.com/find/tcg-pokemon-jepang" TargetMode="External"/><Relationship Id="rId565" Type="http://schemas.openxmlformats.org/officeDocument/2006/relationships/hyperlink" Target="https://www.tokopedia.com/find/kartu-pokemon-1-box" TargetMode="External"/><Relationship Id="rId566" Type="http://schemas.openxmlformats.org/officeDocument/2006/relationships/hyperlink" Target="https://www.tokopedia.com/find/tcg-booster-box" TargetMode="External"/><Relationship Id="rId567" Type="http://schemas.openxmlformats.org/officeDocument/2006/relationships/hyperlink" Target="https://www.instagram.com/markas.hobby" TargetMode="External"/><Relationship Id="rId568" Type="http://schemas.openxmlformats.org/officeDocument/2006/relationships/hyperlink" Target="https://www.google.com/maps/search/?api=1&amp;query=Markas+Card+%26+Hobby+Medan+Jl.+Danau+Lindu+No.148%2C+Medan+Indon&#233;sie" TargetMode="External"/><Relationship Id="rId569" Type="http://schemas.openxmlformats.org/officeDocument/2006/relationships/hyperlink" Target="https://www.instagram.com/markas.hobby/" TargetMode="External"/><Relationship Id="rId570" Type="http://schemas.openxmlformats.org/officeDocument/2006/relationships/hyperlink" Target="https://www.tokopedia.com/find/kartu-pokemon-indomaret" TargetMode="External"/><Relationship Id="rId571" Type="http://schemas.openxmlformats.org/officeDocument/2006/relationships/hyperlink" Target="https://www.instagram.com/velocityhobby" TargetMode="External"/><Relationship Id="rId572" Type="http://schemas.openxmlformats.org/officeDocument/2006/relationships/hyperlink" Target="https://www.google.com/maps/search/?api=1&amp;query=Velocity+Hobby+Centre+Medan+Indon&#233;sie" TargetMode="External"/><Relationship Id="rId573" Type="http://schemas.openxmlformats.org/officeDocument/2006/relationships/hyperlink" Target="https://www.instagram.com/velocityhobby/" TargetMode="External"/><Relationship Id="rId574" Type="http://schemas.openxmlformats.org/officeDocument/2006/relationships/hyperlink" Target="https://www.instagram.com/tcgshopptk" TargetMode="External"/><Relationship Id="rId575" Type="http://schemas.openxmlformats.org/officeDocument/2006/relationships/hyperlink" Target="https://www.google.com/maps/search/?api=1&amp;query=TCGShop+Pontianak+Pontianak+Indon&#233;sie" TargetMode="External"/><Relationship Id="rId576" Type="http://schemas.openxmlformats.org/officeDocument/2006/relationships/hyperlink" Target="https://www.instagram.com/tcgshopptk/" TargetMode="External"/><Relationship Id="rId577" Type="http://schemas.openxmlformats.org/officeDocument/2006/relationships/hyperlink" Target="https://www.instagram.com/semarang.tcg" TargetMode="External"/><Relationship Id="rId578" Type="http://schemas.openxmlformats.org/officeDocument/2006/relationships/hyperlink" Target="https://www.instagram.com/semarang.tcg/" TargetMode="External"/><Relationship Id="rId579" Type="http://schemas.openxmlformats.org/officeDocument/2006/relationships/hyperlink" Target="https://www.instagram.com/happyhobbieshq" TargetMode="External"/><Relationship Id="rId580" Type="http://schemas.openxmlformats.org/officeDocument/2006/relationships/hyperlink" Target="https://www.google.com/maps/search/?api=1&amp;query=Happy+Hobbies+Headquarters+Surabaya+Indon&#233;sie" TargetMode="External"/><Relationship Id="rId581" Type="http://schemas.openxmlformats.org/officeDocument/2006/relationships/hyperlink" Target="https://www.instagram.com/happyhobbieshq/" TargetMode="External"/><Relationship Id="rId582" Type="http://schemas.openxmlformats.org/officeDocument/2006/relationships/hyperlink" Target="https://www.instagram.com/mabar_sby" TargetMode="External"/><Relationship Id="rId583" Type="http://schemas.openxmlformats.org/officeDocument/2006/relationships/hyperlink" Target="https://www.google.com/maps/search/?api=1&amp;query=MABAR+LGS+Surabaya+Greenery%2C+Jl.+Dharmahusada+Indah+II+Blok+L155+No.97%2C+Surabaya+Indon&#233;sie" TargetMode="External"/><Relationship Id="rId584" Type="http://schemas.openxmlformats.org/officeDocument/2006/relationships/hyperlink" Target="https://www.instagram.com/mabar_sby/" TargetMode="External"/><Relationship Id="rId585" Type="http://schemas.openxmlformats.org/officeDocument/2006/relationships/hyperlink" Target="https://www.instagram.com/markas.tcg" TargetMode="External"/><Relationship Id="rId586" Type="http://schemas.openxmlformats.org/officeDocument/2006/relationships/hyperlink" Target="https://www.tiktok.com/@markas.surabaya" TargetMode="External"/><Relationship Id="rId587" Type="http://schemas.openxmlformats.org/officeDocument/2006/relationships/hyperlink" Target="https://www.google.com/maps/search/?api=1&amp;query=MARKAS+TCG+%26+Hobbies+Surabaya+Kiosk+1%2C+Klaska+Residence%2C+Jl.+Jagir+Wonokromo+No.100%2C+Wonokromo%2C+Surabaya+Indon&#233;sie" TargetMode="External"/><Relationship Id="rId588" Type="http://schemas.openxmlformats.org/officeDocument/2006/relationships/hyperlink" Target="https://www.instagram.com/markas.tcg/" TargetMode="External"/><Relationship Id="rId589" Type="http://schemas.openxmlformats.org/officeDocument/2006/relationships/hyperlink" Target="https://www.tokopedia.com/find/pokemon-indonesia-booster" TargetMode="External"/><Relationship Id="rId590" Type="http://schemas.openxmlformats.org/officeDocument/2006/relationships/hyperlink" Target="https://hoopi.id/" TargetMode="External"/><Relationship Id="rId591" Type="http://schemas.openxmlformats.org/officeDocument/2006/relationships/hyperlink" Target="https://www.tiktok.com/@hyperpotatoes.yt/video/7511970219330391352" TargetMode="External"/><Relationship Id="rId592" Type="http://schemas.openxmlformats.org/officeDocument/2006/relationships/hyperlink" Target="https://www.tokopedia.com/kerajaanhobby" TargetMode="External"/><Relationship Id="rId593" Type="http://schemas.openxmlformats.org/officeDocument/2006/relationships/hyperlink" Target="https://www.google.com/maps/search/?api=1&amp;query=Ogre+Neverland+Indon&#233;sie" TargetMode="External"/><Relationship Id="rId594" Type="http://schemas.openxmlformats.org/officeDocument/2006/relationships/hyperlink" Target="https://weekender.thejakartapost.com/prosperity-and-progress/2026/08/27/the-ludicrous-economics-of-pokmon-cards-in-indonesia.html" TargetMode="External"/><Relationship Id="rId595" Type="http://schemas.openxmlformats.org/officeDocument/2006/relationships/hyperlink" Target="https://www.tiktok.com/discover/poke-dealer-papipul" TargetMode="External"/><Relationship Id="rId596" Type="http://schemas.openxmlformats.org/officeDocument/2006/relationships/hyperlink" Target="https://www.google.com/maps/search/?api=1&amp;query=Pokeray+Indon&#233;sie" TargetMode="External"/><Relationship Id="rId597" Type="http://schemas.openxmlformats.org/officeDocument/2006/relationships/hyperlink" Target="https://weekender.thejakartapost.com/prosperity-and-progress/2026/08/27/the-ludicrous-economics-of-pokmon-cards-in-indonesia.html" TargetMode="External"/><Relationship Id="rId598" Type="http://schemas.openxmlformats.org/officeDocument/2006/relationships/hyperlink" Target="https://www.instagram.com/shumitako" TargetMode="External"/><Relationship Id="rId599" Type="http://schemas.openxmlformats.org/officeDocument/2006/relationships/hyperlink" Target="https://www.google.com/maps/search/?api=1&amp;query=Shumitako+Indon&#233;sie" TargetMode="External"/><Relationship Id="rId600" Type="http://schemas.openxmlformats.org/officeDocument/2006/relationships/hyperlink" Target="https://www.instagram.com/shumitako/" TargetMode="External"/><Relationship Id="rId601" Type="http://schemas.openxmlformats.org/officeDocument/2006/relationships/hyperlink" Target="https://www.instagram.com/ikicards" TargetMode="External"/><Relationship Id="rId602" Type="http://schemas.openxmlformats.org/officeDocument/2006/relationships/hyperlink" Target="https://www.instagram.com/ikicards/" TargetMode="External"/><Relationship Id="rId603" Type="http://schemas.openxmlformats.org/officeDocument/2006/relationships/hyperlink" Target="https://www.instagram.com/juragan.kartu" TargetMode="External"/><Relationship Id="rId604" Type="http://schemas.openxmlformats.org/officeDocument/2006/relationships/hyperlink" Target="https://www.instagram.com/juragan.kartu/" TargetMode="External"/><Relationship Id="rId605" Type="http://schemas.openxmlformats.org/officeDocument/2006/relationships/hyperlink" Target="https://www.instagram.com/iccstoreindonesia" TargetMode="External"/><Relationship Id="rId606" Type="http://schemas.openxmlformats.org/officeDocument/2006/relationships/hyperlink" Target="https://www.google.com/maps/search/?api=1&amp;query=ICC+Cards+%26+Collectibles+Mall+of+Indonesia%2C+Kelapa+Gading%2C+North+Jakarta+Indon&#233;sie" TargetMode="External"/><Relationship Id="rId607" Type="http://schemas.openxmlformats.org/officeDocument/2006/relationships/hyperlink" Target="https://www.instagram.com/iccstoreindonesia/" TargetMode="External"/><Relationship Id="rId608" Type="http://schemas.openxmlformats.org/officeDocument/2006/relationships/hyperlink" Target="https://www.google.com/maps/search/?api=1&amp;query=Monopolis+Pluit+Village+Mall%2C+Jakarta+Indon&#233;sie" TargetMode="External"/><Relationship Id="rId609" Type="http://schemas.openxmlformats.org/officeDocument/2006/relationships/hyperlink" Target="https://boardoro.com/en/asia/indonesia/jakarta" TargetMode="External"/><Relationship Id="rId610" Type="http://schemas.openxmlformats.org/officeDocument/2006/relationships/hyperlink" Target="https://www.google.com/maps/search/?api=1&amp;query=Arcanum+Hobbies+Kuningan+City%2C+Jakarta+Indon&#233;sie" TargetMode="External"/><Relationship Id="rId611" Type="http://schemas.openxmlformats.org/officeDocument/2006/relationships/hyperlink" Target="https://boardoro.com/en/asia/indonesia/jakarta" TargetMode="External"/><Relationship Id="rId612" Type="http://schemas.openxmlformats.org/officeDocument/2006/relationships/hyperlink" Target="https://www.tokopedia.com/tcgpokemonplg" TargetMode="External"/><Relationship Id="rId613" Type="http://schemas.openxmlformats.org/officeDocument/2006/relationships/hyperlink" Target="https://www.instagram.com/utopia_cards" TargetMode="External"/><Relationship Id="rId614" Type="http://schemas.openxmlformats.org/officeDocument/2006/relationships/hyperlink" Target="https://www.google.com/maps/search/?api=1&amp;query=UtopiaCards+Pakuwon+Trade+Center%2C+Ground+floor+CK15%2C+Surabaya+Indon&#233;sie" TargetMode="External"/><Relationship Id="rId615" Type="http://schemas.openxmlformats.org/officeDocument/2006/relationships/hyperlink" Target="https://www.instagram.com/utopia_cards/" TargetMode="External"/><Relationship Id="rId616" Type="http://schemas.openxmlformats.org/officeDocument/2006/relationships/hyperlink" Target="https://www.instagram.com/topdeckgamescenter" TargetMode="External"/><Relationship Id="rId617" Type="http://schemas.openxmlformats.org/officeDocument/2006/relationships/hyperlink" Target="https://www.google.com/maps/search/?api=1&amp;query=TopDeck+Games+Center+Tangerang+%28Gading+Serpong%29+Indon&#233;sie" TargetMode="External"/><Relationship Id="rId618" Type="http://schemas.openxmlformats.org/officeDocument/2006/relationships/hyperlink" Target="https://www.instagram.com/topdeckgamescenter/" TargetMode="External"/><Relationship Id="rId619" Type="http://schemas.openxmlformats.org/officeDocument/2006/relationships/hyperlink" Target="https://www.instagram.com/xollexio" TargetMode="External"/><Relationship Id="rId620" Type="http://schemas.openxmlformats.org/officeDocument/2006/relationships/hyperlink" Target="https://www.instagram.com/xollexio/" TargetMode="External"/><Relationship Id="rId62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COUNTIF(Vinyles!$C:$C,$A5)</f>
        <v>39</v>
      </c>
      <c r="C5" s="5" t="n">
        <f aca="false">COUNTIFS(Vinyles!$C:$C,$A5,Vinyles!$Q:$Q,"Actif")</f>
        <v>19</v>
      </c>
      <c r="D5" s="5" t="n">
        <f aca="false">COUNTIFS(Vinyles!$C:$C,$A5,Vinyles!$R:$R,"&gt;0")</f>
        <v>13</v>
      </c>
      <c r="E5" s="5" t="n">
        <f aca="false">COUNTIF(Pokémon!$C:$C,$A5)</f>
        <v>45</v>
      </c>
      <c r="F5" s="5" t="n">
        <f aca="false">COUNTIFS(Pokémon!$C:$C,$A5,Pokémon!$I:$I,"A")</f>
        <v>7</v>
      </c>
      <c r="G5" s="5" t="n">
        <f aca="false">COUNTIFS(Pokémon!$C:$C,$A5,Pokémon!$I:$I,"B")</f>
        <v>6</v>
      </c>
      <c r="H5" s="5" t="n">
        <f aca="false">COUNTIFS(Pokémon!$C:$C,$A5,Pokémon!$U:$U,"&gt;0")</f>
        <v>35</v>
      </c>
    </row>
    <row r="6" customFormat="false" ht="15" hidden="false" customHeight="false" outlineLevel="0" collapsed="false">
      <c r="A6" s="4" t="s">
        <v>11</v>
      </c>
      <c r="B6" s="5" t="n">
        <f aca="false">COUNTIF(Vinyles!$C:$C,$A6)</f>
        <v>32</v>
      </c>
      <c r="C6" s="5" t="n">
        <f aca="false">COUNTIFS(Vinyles!$C:$C,$A6,Vinyles!$Q:$Q,"Actif")</f>
        <v>5</v>
      </c>
      <c r="D6" s="5" t="n">
        <f aca="false">COUNTIFS(Vinyles!$C:$C,$A6,Vinyles!$R:$R,"&gt;0")</f>
        <v>26</v>
      </c>
      <c r="E6" s="5" t="n">
        <f aca="false">COUNTIF(Pokémon!$C:$C,$A6)</f>
        <v>33</v>
      </c>
      <c r="F6" s="5" t="n">
        <f aca="false">COUNTIFS(Pokémon!$C:$C,$A6,Pokémon!$I:$I,"A")</f>
        <v>4</v>
      </c>
      <c r="G6" s="5" t="n">
        <f aca="false">COUNTIFS(Pokémon!$C:$C,$A6,Pokémon!$I:$I,"B")</f>
        <v>7</v>
      </c>
      <c r="H6" s="5" t="n">
        <f aca="false">COUNTIFS(Pokémon!$C:$C,$A6,Pokémon!$U:$U,"&gt;0")</f>
        <v>20</v>
      </c>
    </row>
    <row r="7" customFormat="false" ht="15" hidden="false" customHeight="false" outlineLevel="0" collapsed="false">
      <c r="A7" s="4" t="s">
        <v>12</v>
      </c>
      <c r="B7" s="5" t="n">
        <f aca="false">COUNTIF(Vinyles!$C:$C,$A7)</f>
        <v>53</v>
      </c>
      <c r="C7" s="5" t="n">
        <f aca="false">COUNTIFS(Vinyles!$C:$C,$A7,Vinyles!$Q:$Q,"Actif")</f>
        <v>5</v>
      </c>
      <c r="D7" s="5" t="n">
        <f aca="false">COUNTIFS(Vinyles!$C:$C,$A7,Vinyles!$R:$R,"&gt;0")</f>
        <v>28</v>
      </c>
      <c r="E7" s="5" t="n">
        <f aca="false">COUNTIF(Pokémon!$C:$C,$A7)</f>
        <v>54</v>
      </c>
      <c r="F7" s="5" t="n">
        <f aca="false">COUNTIFS(Pokémon!$C:$C,$A7,Pokémon!$I:$I,"A")</f>
        <v>8</v>
      </c>
      <c r="G7" s="5" t="n">
        <f aca="false">COUNTIFS(Pokémon!$C:$C,$A7,Pokémon!$I:$I,"B")</f>
        <v>11</v>
      </c>
      <c r="H7" s="5" t="n">
        <f aca="false">COUNTIFS(Pokémon!$C:$C,$A7,Pokémon!$U:$U,"&gt;0")</f>
        <v>25</v>
      </c>
    </row>
    <row r="8" customFormat="false" ht="15" hidden="false" customHeight="false" outlineLevel="0" collapsed="false">
      <c r="A8" s="4" t="s">
        <v>13</v>
      </c>
      <c r="B8" s="5" t="n">
        <f aca="false">COUNTIF(Vinyles!$C:$C,$A8)</f>
        <v>35</v>
      </c>
      <c r="C8" s="5" t="n">
        <f aca="false">COUNTIFS(Vinyles!$C:$C,$A8,Vinyles!$Q:$Q,"Actif")</f>
        <v>15</v>
      </c>
      <c r="D8" s="5" t="n">
        <f aca="false">COUNTIFS(Vinyles!$C:$C,$A8,Vinyles!$R:$R,"&gt;0")</f>
        <v>17</v>
      </c>
      <c r="E8" s="5" t="n">
        <f aca="false">COUNTIF(Pokémon!$C:$C,$A8)</f>
        <v>78</v>
      </c>
      <c r="F8" s="5" t="n">
        <f aca="false">COUNTIFS(Pokémon!$C:$C,$A8,Pokémon!$I:$I,"A")</f>
        <v>7</v>
      </c>
      <c r="G8" s="5" t="n">
        <f aca="false">COUNTIFS(Pokémon!$C:$C,$A8,Pokémon!$I:$I,"B")</f>
        <v>36</v>
      </c>
      <c r="H8" s="5" t="n">
        <f aca="false">COUNTIFS(Pokémon!$C:$C,$A8,Pokémon!$U:$U,"&gt;0")</f>
        <v>52</v>
      </c>
    </row>
    <row r="9" customFormat="false" ht="15" hidden="false" customHeight="false" outlineLevel="0" collapsed="false">
      <c r="A9" s="4" t="s">
        <v>14</v>
      </c>
      <c r="B9" s="5" t="n">
        <f aca="false">COUNTIF(Vinyles!$C:$C,$A9)</f>
        <v>56</v>
      </c>
      <c r="C9" s="5" t="n">
        <f aca="false">COUNTIFS(Vinyles!$C:$C,$A9,Vinyles!$Q:$Q,"Actif")</f>
        <v>11</v>
      </c>
      <c r="D9" s="5" t="n">
        <f aca="false">COUNTIFS(Vinyles!$C:$C,$A9,Vinyles!$R:$R,"&gt;0")</f>
        <v>30</v>
      </c>
      <c r="E9" s="5" t="n">
        <f aca="false">COUNTIF(Pokémon!$C:$C,$A9)</f>
        <v>61</v>
      </c>
      <c r="F9" s="5" t="n">
        <f aca="false">COUNTIFS(Pokémon!$C:$C,$A9,Pokémon!$I:$I,"A")</f>
        <v>5</v>
      </c>
      <c r="G9" s="5" t="n">
        <f aca="false">COUNTIFS(Pokémon!$C:$C,$A9,Pokémon!$I:$I,"B")</f>
        <v>22</v>
      </c>
      <c r="H9" s="5" t="n">
        <f aca="false">COUNTIFS(Pokémon!$C:$C,$A9,Pokémon!$U:$U,"&gt;0")</f>
        <v>32</v>
      </c>
    </row>
    <row r="10" customFormat="false" ht="15" hidden="false" customHeight="false" outlineLevel="0" collapsed="false">
      <c r="A10" s="6" t="s">
        <v>15</v>
      </c>
      <c r="B10" s="7" t="n">
        <f aca="false">SUM(B5:B9)</f>
        <v>215</v>
      </c>
      <c r="C10" s="7" t="n">
        <f aca="false">SUM(C5:C9)</f>
        <v>55</v>
      </c>
      <c r="D10" s="7" t="n">
        <f aca="false">SUM(D5:D9)</f>
        <v>114</v>
      </c>
      <c r="E10" s="7" t="n">
        <f aca="false">SUM(E5:E9)</f>
        <v>271</v>
      </c>
      <c r="F10" s="7" t="n">
        <f aca="false">SUM(F5:F9)</f>
        <v>31</v>
      </c>
      <c r="G10" s="7" t="n">
        <f aca="false">SUM(G5:G9)</f>
        <v>82</v>
      </c>
      <c r="H10" s="7" t="n">
        <f aca="false">SUM(H5:H9)</f>
        <v>164</v>
      </c>
    </row>
    <row r="12" customFormat="false" ht="15" hidden="false" customHeight="false" outlineLevel="0" collapsed="false">
      <c r="A12" s="8" t="s">
        <v>16</v>
      </c>
    </row>
    <row r="13" customFormat="false" ht="15" hidden="false" customHeight="false" outlineLevel="0" collapsed="false">
      <c r="A13" s="9" t="s">
        <v>17</v>
      </c>
    </row>
    <row r="14" customFormat="false" ht="15" hidden="false" customHeight="false" outlineLevel="0" collapsed="false">
      <c r="A14" s="9" t="s">
        <v>18</v>
      </c>
    </row>
    <row r="15" customFormat="false" ht="15" hidden="false" customHeight="false" outlineLevel="0" collapsed="false">
      <c r="A15" s="9" t="s">
        <v>19</v>
      </c>
    </row>
    <row r="16" customFormat="false" ht="15" hidden="false" customHeight="false" outlineLevel="0" collapsed="false">
      <c r="A16" s="9" t="s">
        <v>20</v>
      </c>
    </row>
    <row r="17" customFormat="false" ht="15" hidden="false" customHeight="false" outlineLevel="0" collapsed="false">
      <c r="A17" s="9" t="s">
        <v>21</v>
      </c>
    </row>
    <row r="18" customFormat="false" ht="15" hidden="false" customHeight="false" outlineLevel="0" collapsed="false">
      <c r="A18" s="9" t="s">
        <v>22</v>
      </c>
    </row>
    <row r="19" customFormat="false" ht="15" hidden="false" customHeight="false" outlineLevel="0" collapsed="false">
      <c r="A19" s="9" t="s">
        <v>23</v>
      </c>
    </row>
    <row r="20" customFormat="false" ht="15" hidden="false" customHeight="false" outlineLevel="0" collapsed="false">
      <c r="A20" s="8" t="s">
        <v>24</v>
      </c>
    </row>
    <row r="21" customFormat="false" ht="15" hidden="false" customHeight="false" outlineLevel="0" collapsed="false">
      <c r="A21" s="9" t="s">
        <v>25</v>
      </c>
    </row>
    <row r="22" customFormat="false" ht="15" hidden="false" customHeight="false" outlineLevel="0" collapsed="false">
      <c r="A22" s="9" t="s">
        <v>26</v>
      </c>
    </row>
    <row r="23" customFormat="false" ht="15" hidden="false" customHeight="false" outlineLevel="0" collapsed="false">
      <c r="A23" s="9" t="s">
        <v>27</v>
      </c>
    </row>
    <row r="24" customFormat="false" ht="15" hidden="false" customHeight="false" outlineLevel="0" collapsed="false">
      <c r="A24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42"/>
    <col collapsed="false" customWidth="true" hidden="false" outlineLevel="0" max="9" min="8" style="0" width="30"/>
    <col collapsed="false" customWidth="true" hidden="false" outlineLevel="0" max="10" min="10" style="0" width="32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26"/>
    <col collapsed="false" customWidth="true" hidden="false" outlineLevel="0" max="14" min="14" style="0" width="32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45"/>
    <col collapsed="false" customWidth="true" hidden="false" outlineLevel="0" max="20" min="20" style="0" width="50"/>
  </cols>
  <sheetData>
    <row r="1" customFormat="false" ht="30" hidden="false" customHeight="true" outlineLevel="0" collapsed="false">
      <c r="A1" s="10" t="s">
        <v>29</v>
      </c>
      <c r="B1" s="10" t="s">
        <v>30</v>
      </c>
      <c r="C1" s="10" t="s">
        <v>2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</row>
    <row r="2" customFormat="false" ht="15" hidden="false" customHeight="false" outlineLevel="0" collapsed="false">
      <c r="A2" s="11" t="n">
        <v>1</v>
      </c>
      <c r="B2" s="11" t="s">
        <v>48</v>
      </c>
      <c r="C2" s="11" t="s">
        <v>10</v>
      </c>
      <c r="D2" s="11" t="s">
        <v>49</v>
      </c>
      <c r="E2" s="11" t="s">
        <v>50</v>
      </c>
      <c r="F2" s="11" t="s">
        <v>51</v>
      </c>
      <c r="G2" s="11" t="s">
        <v>52</v>
      </c>
      <c r="H2" s="11"/>
      <c r="I2" s="11"/>
      <c r="J2" s="12" t="s">
        <v>53</v>
      </c>
      <c r="K2" s="11"/>
      <c r="L2" s="11"/>
      <c r="M2" s="11"/>
      <c r="N2" s="11"/>
      <c r="O2" s="12" t="s">
        <v>54</v>
      </c>
      <c r="P2" s="11"/>
      <c r="Q2" s="11" t="s">
        <v>55</v>
      </c>
      <c r="R2" s="11" t="n">
        <f aca="false">COUNTA(H2:M2)</f>
        <v>1</v>
      </c>
      <c r="S2" s="11" t="s">
        <v>56</v>
      </c>
      <c r="T2" s="13" t="s">
        <v>57</v>
      </c>
    </row>
    <row r="3" customFormat="false" ht="15" hidden="false" customHeight="false" outlineLevel="0" collapsed="false">
      <c r="A3" s="11" t="n">
        <v>2</v>
      </c>
      <c r="B3" s="11" t="s">
        <v>58</v>
      </c>
      <c r="C3" s="11" t="s">
        <v>10</v>
      </c>
      <c r="D3" s="11" t="s">
        <v>49</v>
      </c>
      <c r="E3" s="11" t="s">
        <v>59</v>
      </c>
      <c r="F3" s="11" t="s">
        <v>51</v>
      </c>
      <c r="G3" s="11" t="s">
        <v>60</v>
      </c>
      <c r="H3" s="11"/>
      <c r="I3" s="12" t="s">
        <v>61</v>
      </c>
      <c r="J3" s="11"/>
      <c r="K3" s="11"/>
      <c r="L3" s="11"/>
      <c r="M3" s="11"/>
      <c r="N3" s="11"/>
      <c r="O3" s="12" t="s">
        <v>54</v>
      </c>
      <c r="P3" s="11"/>
      <c r="Q3" s="11" t="s">
        <v>55</v>
      </c>
      <c r="R3" s="11" t="n">
        <f aca="false">COUNTA(H3:M3)</f>
        <v>1</v>
      </c>
      <c r="S3" s="11" t="s">
        <v>62</v>
      </c>
      <c r="T3" s="13" t="s">
        <v>63</v>
      </c>
    </row>
    <row r="4" customFormat="false" ht="15" hidden="false" customHeight="false" outlineLevel="0" collapsed="false">
      <c r="A4" s="11" t="n">
        <v>3</v>
      </c>
      <c r="B4" s="11" t="s">
        <v>64</v>
      </c>
      <c r="C4" s="11" t="s">
        <v>10</v>
      </c>
      <c r="D4" s="11" t="s">
        <v>49</v>
      </c>
      <c r="E4" s="11" t="s">
        <v>65</v>
      </c>
      <c r="F4" s="11" t="s">
        <v>51</v>
      </c>
      <c r="G4" s="11" t="s">
        <v>66</v>
      </c>
      <c r="H4" s="11"/>
      <c r="I4" s="11"/>
      <c r="J4" s="11"/>
      <c r="K4" s="11"/>
      <c r="L4" s="11"/>
      <c r="M4" s="11"/>
      <c r="N4" s="11"/>
      <c r="O4" s="12" t="s">
        <v>54</v>
      </c>
      <c r="P4" s="11"/>
      <c r="Q4" s="11" t="s">
        <v>55</v>
      </c>
      <c r="R4" s="11" t="n">
        <f aca="false">COUNTA(H4:M4)</f>
        <v>0</v>
      </c>
      <c r="S4" s="11" t="s">
        <v>67</v>
      </c>
      <c r="T4" s="13" t="s">
        <v>68</v>
      </c>
    </row>
    <row r="5" customFormat="false" ht="15" hidden="false" customHeight="false" outlineLevel="0" collapsed="false">
      <c r="A5" s="11" t="n">
        <v>4</v>
      </c>
      <c r="B5" s="11" t="s">
        <v>69</v>
      </c>
      <c r="C5" s="11" t="s">
        <v>10</v>
      </c>
      <c r="D5" s="11" t="s">
        <v>49</v>
      </c>
      <c r="E5" s="11" t="s">
        <v>70</v>
      </c>
      <c r="F5" s="11" t="s">
        <v>51</v>
      </c>
      <c r="G5" s="11" t="s">
        <v>71</v>
      </c>
      <c r="H5" s="11"/>
      <c r="I5" s="11"/>
      <c r="J5" s="11"/>
      <c r="K5" s="11"/>
      <c r="L5" s="11" t="s">
        <v>72</v>
      </c>
      <c r="M5" s="11"/>
      <c r="N5" s="11"/>
      <c r="O5" s="12" t="s">
        <v>54</v>
      </c>
      <c r="P5" s="11"/>
      <c r="Q5" s="11" t="s">
        <v>73</v>
      </c>
      <c r="R5" s="11" t="n">
        <f aca="false">COUNTA(H5:M5)</f>
        <v>1</v>
      </c>
      <c r="S5" s="11" t="s">
        <v>74</v>
      </c>
      <c r="T5" s="13" t="s">
        <v>75</v>
      </c>
    </row>
    <row r="6" customFormat="false" ht="15" hidden="false" customHeight="false" outlineLevel="0" collapsed="false">
      <c r="A6" s="11" t="n">
        <v>5</v>
      </c>
      <c r="B6" s="11" t="s">
        <v>76</v>
      </c>
      <c r="C6" s="11" t="s">
        <v>10</v>
      </c>
      <c r="D6" s="11" t="s">
        <v>49</v>
      </c>
      <c r="E6" s="11" t="s">
        <v>77</v>
      </c>
      <c r="F6" s="11" t="s">
        <v>51</v>
      </c>
      <c r="G6" s="11" t="s">
        <v>78</v>
      </c>
      <c r="H6" s="11"/>
      <c r="I6" s="11"/>
      <c r="J6" s="11"/>
      <c r="K6" s="11"/>
      <c r="L6" s="11"/>
      <c r="M6" s="11"/>
      <c r="N6" s="11"/>
      <c r="O6" s="12" t="s">
        <v>54</v>
      </c>
      <c r="P6" s="11"/>
      <c r="Q6" s="11" t="s">
        <v>55</v>
      </c>
      <c r="R6" s="11" t="n">
        <f aca="false">COUNTA(H6:M6)</f>
        <v>0</v>
      </c>
      <c r="S6" s="11" t="s">
        <v>79</v>
      </c>
      <c r="T6" s="13" t="s">
        <v>80</v>
      </c>
    </row>
    <row r="7" customFormat="false" ht="15" hidden="false" customHeight="false" outlineLevel="0" collapsed="false">
      <c r="A7" s="11" t="n">
        <v>6</v>
      </c>
      <c r="B7" s="11" t="s">
        <v>81</v>
      </c>
      <c r="C7" s="11" t="s">
        <v>10</v>
      </c>
      <c r="D7" s="11" t="s">
        <v>49</v>
      </c>
      <c r="E7" s="11" t="s">
        <v>82</v>
      </c>
      <c r="F7" s="11" t="s">
        <v>51</v>
      </c>
      <c r="G7" s="11" t="s">
        <v>83</v>
      </c>
      <c r="H7" s="11"/>
      <c r="I7" s="11"/>
      <c r="J7" s="11"/>
      <c r="K7" s="11"/>
      <c r="L7" s="11"/>
      <c r="M7" s="11"/>
      <c r="N7" s="11"/>
      <c r="O7" s="12" t="s">
        <v>54</v>
      </c>
      <c r="P7" s="11"/>
      <c r="Q7" s="11" t="s">
        <v>55</v>
      </c>
      <c r="R7" s="11" t="n">
        <f aca="false">COUNTA(H7:M7)</f>
        <v>0</v>
      </c>
      <c r="S7" s="11" t="s">
        <v>84</v>
      </c>
      <c r="T7" s="13" t="s">
        <v>85</v>
      </c>
    </row>
    <row r="8" customFormat="false" ht="15" hidden="false" customHeight="false" outlineLevel="0" collapsed="false">
      <c r="A8" s="11" t="n">
        <v>7</v>
      </c>
      <c r="B8" s="11" t="s">
        <v>86</v>
      </c>
      <c r="C8" s="11" t="s">
        <v>10</v>
      </c>
      <c r="D8" s="11" t="s">
        <v>49</v>
      </c>
      <c r="E8" s="11" t="s">
        <v>87</v>
      </c>
      <c r="F8" s="11" t="s">
        <v>51</v>
      </c>
      <c r="G8" s="11" t="s">
        <v>66</v>
      </c>
      <c r="H8" s="11"/>
      <c r="I8" s="11"/>
      <c r="J8" s="11"/>
      <c r="K8" s="11"/>
      <c r="L8" s="11"/>
      <c r="M8" s="11"/>
      <c r="N8" s="11"/>
      <c r="O8" s="12" t="s">
        <v>54</v>
      </c>
      <c r="P8" s="11"/>
      <c r="Q8" s="11" t="s">
        <v>55</v>
      </c>
      <c r="R8" s="11" t="n">
        <f aca="false">COUNTA(H8:M8)</f>
        <v>0</v>
      </c>
      <c r="S8" s="11" t="s">
        <v>79</v>
      </c>
      <c r="T8" s="13" t="s">
        <v>88</v>
      </c>
    </row>
    <row r="9" customFormat="false" ht="15" hidden="false" customHeight="false" outlineLevel="0" collapsed="false">
      <c r="A9" s="11" t="n">
        <v>8</v>
      </c>
      <c r="B9" s="11" t="s">
        <v>89</v>
      </c>
      <c r="C9" s="11" t="s">
        <v>10</v>
      </c>
      <c r="D9" s="11" t="s">
        <v>49</v>
      </c>
      <c r="E9" s="11" t="s">
        <v>90</v>
      </c>
      <c r="F9" s="11" t="s">
        <v>51</v>
      </c>
      <c r="G9" s="11" t="s">
        <v>91</v>
      </c>
      <c r="H9" s="11"/>
      <c r="I9" s="11"/>
      <c r="J9" s="11"/>
      <c r="K9" s="11"/>
      <c r="L9" s="11" t="s">
        <v>92</v>
      </c>
      <c r="M9" s="11"/>
      <c r="N9" s="11"/>
      <c r="O9" s="12" t="s">
        <v>54</v>
      </c>
      <c r="P9" s="11"/>
      <c r="Q9" s="11" t="s">
        <v>73</v>
      </c>
      <c r="R9" s="11" t="n">
        <f aca="false">COUNTA(H9:M9)</f>
        <v>1</v>
      </c>
      <c r="S9" s="11" t="s">
        <v>93</v>
      </c>
      <c r="T9" s="13" t="s">
        <v>94</v>
      </c>
    </row>
    <row r="10" customFormat="false" ht="15" hidden="false" customHeight="false" outlineLevel="0" collapsed="false">
      <c r="A10" s="11" t="n">
        <v>9</v>
      </c>
      <c r="B10" s="11" t="s">
        <v>95</v>
      </c>
      <c r="C10" s="11" t="s">
        <v>10</v>
      </c>
      <c r="D10" s="11" t="s">
        <v>49</v>
      </c>
      <c r="E10" s="11" t="s">
        <v>96</v>
      </c>
      <c r="F10" s="11" t="s">
        <v>51</v>
      </c>
      <c r="G10" s="11" t="s">
        <v>97</v>
      </c>
      <c r="H10" s="11"/>
      <c r="I10" s="11"/>
      <c r="J10" s="11"/>
      <c r="K10" s="11"/>
      <c r="L10" s="11"/>
      <c r="M10" s="11"/>
      <c r="N10" s="11"/>
      <c r="O10" s="12" t="s">
        <v>54</v>
      </c>
      <c r="P10" s="11"/>
      <c r="Q10" s="11" t="s">
        <v>73</v>
      </c>
      <c r="R10" s="11" t="n">
        <f aca="false">COUNTA(H10:M10)</f>
        <v>0</v>
      </c>
      <c r="S10" s="11" t="s">
        <v>98</v>
      </c>
      <c r="T10" s="13" t="s">
        <v>99</v>
      </c>
    </row>
    <row r="11" customFormat="false" ht="15" hidden="false" customHeight="false" outlineLevel="0" collapsed="false">
      <c r="A11" s="11" t="n">
        <v>10</v>
      </c>
      <c r="B11" s="11" t="s">
        <v>100</v>
      </c>
      <c r="C11" s="11" t="s">
        <v>10</v>
      </c>
      <c r="D11" s="11" t="s">
        <v>49</v>
      </c>
      <c r="E11" s="11" t="s">
        <v>101</v>
      </c>
      <c r="F11" s="11" t="s">
        <v>51</v>
      </c>
      <c r="G11" s="11" t="s">
        <v>102</v>
      </c>
      <c r="H11" s="11"/>
      <c r="I11" s="11"/>
      <c r="J11" s="11"/>
      <c r="K11" s="11"/>
      <c r="L11" s="11"/>
      <c r="M11" s="11"/>
      <c r="N11" s="11"/>
      <c r="O11" s="12" t="s">
        <v>54</v>
      </c>
      <c r="P11" s="11"/>
      <c r="Q11" s="11" t="s">
        <v>55</v>
      </c>
      <c r="R11" s="11" t="n">
        <f aca="false">COUNTA(H11:M11)</f>
        <v>0</v>
      </c>
      <c r="S11" s="11" t="s">
        <v>103</v>
      </c>
      <c r="T11" s="13" t="s">
        <v>104</v>
      </c>
    </row>
    <row r="12" customFormat="false" ht="15" hidden="false" customHeight="false" outlineLevel="0" collapsed="false">
      <c r="A12" s="11" t="n">
        <v>11</v>
      </c>
      <c r="B12" s="11" t="s">
        <v>105</v>
      </c>
      <c r="C12" s="11" t="s">
        <v>10</v>
      </c>
      <c r="D12" s="11" t="s">
        <v>49</v>
      </c>
      <c r="E12" s="11" t="s">
        <v>106</v>
      </c>
      <c r="F12" s="11" t="s">
        <v>51</v>
      </c>
      <c r="G12" s="11" t="s">
        <v>107</v>
      </c>
      <c r="H12" s="11"/>
      <c r="I12" s="11"/>
      <c r="J12" s="11"/>
      <c r="K12" s="11"/>
      <c r="L12" s="11"/>
      <c r="M12" s="11"/>
      <c r="N12" s="11"/>
      <c r="O12" s="12" t="s">
        <v>54</v>
      </c>
      <c r="P12" s="11"/>
      <c r="Q12" s="11" t="s">
        <v>73</v>
      </c>
      <c r="R12" s="11" t="n">
        <f aca="false">COUNTA(H12:M12)</f>
        <v>0</v>
      </c>
      <c r="S12" s="11" t="s">
        <v>108</v>
      </c>
      <c r="T12" s="13" t="s">
        <v>109</v>
      </c>
    </row>
    <row r="13" customFormat="false" ht="15" hidden="false" customHeight="false" outlineLevel="0" collapsed="false">
      <c r="A13" s="11" t="n">
        <v>12</v>
      </c>
      <c r="B13" s="11" t="s">
        <v>110</v>
      </c>
      <c r="C13" s="11" t="s">
        <v>10</v>
      </c>
      <c r="D13" s="11" t="s">
        <v>49</v>
      </c>
      <c r="E13" s="11" t="s">
        <v>111</v>
      </c>
      <c r="F13" s="11" t="s">
        <v>51</v>
      </c>
      <c r="G13" s="11" t="s">
        <v>112</v>
      </c>
      <c r="H13" s="11"/>
      <c r="I13" s="11"/>
      <c r="J13" s="11"/>
      <c r="K13" s="11"/>
      <c r="L13" s="11"/>
      <c r="M13" s="11"/>
      <c r="N13" s="11"/>
      <c r="O13" s="12" t="s">
        <v>54</v>
      </c>
      <c r="P13" s="11"/>
      <c r="Q13" s="11" t="s">
        <v>73</v>
      </c>
      <c r="R13" s="11" t="n">
        <f aca="false">COUNTA(H13:M13)</f>
        <v>0</v>
      </c>
      <c r="S13" s="11" t="s">
        <v>113</v>
      </c>
      <c r="T13" s="13" t="s">
        <v>114</v>
      </c>
    </row>
    <row r="14" customFormat="false" ht="15" hidden="false" customHeight="false" outlineLevel="0" collapsed="false">
      <c r="A14" s="11" t="n">
        <v>13</v>
      </c>
      <c r="B14" s="11" t="s">
        <v>115</v>
      </c>
      <c r="C14" s="11" t="s">
        <v>10</v>
      </c>
      <c r="D14" s="11" t="s">
        <v>49</v>
      </c>
      <c r="E14" s="11" t="s">
        <v>116</v>
      </c>
      <c r="F14" s="11" t="s">
        <v>51</v>
      </c>
      <c r="G14" s="11" t="s">
        <v>117</v>
      </c>
      <c r="H14" s="11"/>
      <c r="I14" s="11"/>
      <c r="J14" s="11"/>
      <c r="K14" s="11"/>
      <c r="L14" s="11"/>
      <c r="M14" s="11"/>
      <c r="N14" s="11"/>
      <c r="O14" s="12" t="s">
        <v>54</v>
      </c>
      <c r="P14" s="11"/>
      <c r="Q14" s="11" t="s">
        <v>73</v>
      </c>
      <c r="R14" s="11" t="n">
        <f aca="false">COUNTA(H14:M14)</f>
        <v>0</v>
      </c>
      <c r="S14" s="11" t="s">
        <v>118</v>
      </c>
      <c r="T14" s="13" t="s">
        <v>119</v>
      </c>
    </row>
    <row r="15" customFormat="false" ht="15" hidden="false" customHeight="false" outlineLevel="0" collapsed="false">
      <c r="A15" s="11" t="n">
        <v>14</v>
      </c>
      <c r="B15" s="11" t="s">
        <v>120</v>
      </c>
      <c r="C15" s="11" t="s">
        <v>10</v>
      </c>
      <c r="D15" s="11" t="s">
        <v>49</v>
      </c>
      <c r="E15" s="11" t="s">
        <v>121</v>
      </c>
      <c r="F15" s="11" t="s">
        <v>122</v>
      </c>
      <c r="G15" s="11" t="s">
        <v>123</v>
      </c>
      <c r="H15" s="11"/>
      <c r="I15" s="12" t="s">
        <v>124</v>
      </c>
      <c r="J15" s="11"/>
      <c r="K15" s="11"/>
      <c r="L15" s="11"/>
      <c r="M15" s="11"/>
      <c r="N15" s="11"/>
      <c r="O15" s="12" t="s">
        <v>54</v>
      </c>
      <c r="P15" s="11"/>
      <c r="Q15" s="11" t="s">
        <v>55</v>
      </c>
      <c r="R15" s="11" t="n">
        <f aca="false">COUNTA(H15:M15)</f>
        <v>1</v>
      </c>
      <c r="S15" s="11" t="s">
        <v>125</v>
      </c>
      <c r="T15" s="13" t="s">
        <v>126</v>
      </c>
    </row>
    <row r="16" customFormat="false" ht="15" hidden="false" customHeight="false" outlineLevel="0" collapsed="false">
      <c r="A16" s="11" t="n">
        <v>15</v>
      </c>
      <c r="B16" s="11" t="s">
        <v>127</v>
      </c>
      <c r="C16" s="11" t="s">
        <v>10</v>
      </c>
      <c r="D16" s="11" t="s">
        <v>49</v>
      </c>
      <c r="E16" s="11" t="s">
        <v>128</v>
      </c>
      <c r="F16" s="11" t="s">
        <v>51</v>
      </c>
      <c r="G16" s="11" t="s">
        <v>129</v>
      </c>
      <c r="H16" s="11"/>
      <c r="I16" s="11"/>
      <c r="J16" s="11"/>
      <c r="K16" s="11"/>
      <c r="L16" s="11"/>
      <c r="M16" s="11"/>
      <c r="N16" s="11"/>
      <c r="O16" s="12" t="s">
        <v>54</v>
      </c>
      <c r="P16" s="11"/>
      <c r="Q16" s="11" t="s">
        <v>73</v>
      </c>
      <c r="R16" s="11" t="n">
        <f aca="false">COUNTA(H16:M16)</f>
        <v>0</v>
      </c>
      <c r="S16" s="11" t="s">
        <v>130</v>
      </c>
      <c r="T16" s="13" t="s">
        <v>131</v>
      </c>
    </row>
    <row r="17" customFormat="false" ht="15" hidden="false" customHeight="false" outlineLevel="0" collapsed="false">
      <c r="A17" s="11" t="n">
        <v>16</v>
      </c>
      <c r="B17" s="11" t="s">
        <v>132</v>
      </c>
      <c r="C17" s="11" t="s">
        <v>10</v>
      </c>
      <c r="D17" s="11" t="s">
        <v>49</v>
      </c>
      <c r="E17" s="11"/>
      <c r="F17" s="11" t="s">
        <v>133</v>
      </c>
      <c r="G17" s="11" t="s">
        <v>134</v>
      </c>
      <c r="H17" s="11"/>
      <c r="I17" s="12" t="s">
        <v>135</v>
      </c>
      <c r="J17" s="11"/>
      <c r="K17" s="11"/>
      <c r="L17" s="11"/>
      <c r="M17" s="11"/>
      <c r="N17" s="11"/>
      <c r="O17" s="11"/>
      <c r="P17" s="11"/>
      <c r="Q17" s="11" t="s">
        <v>55</v>
      </c>
      <c r="R17" s="11" t="n">
        <f aca="false">COUNTA(H17:M17)</f>
        <v>1</v>
      </c>
      <c r="S17" s="11" t="s">
        <v>136</v>
      </c>
      <c r="T17" s="13" t="s">
        <v>137</v>
      </c>
    </row>
    <row r="18" customFormat="false" ht="15" hidden="false" customHeight="false" outlineLevel="0" collapsed="false">
      <c r="A18" s="11" t="n">
        <v>17</v>
      </c>
      <c r="B18" s="11" t="s">
        <v>138</v>
      </c>
      <c r="C18" s="11" t="s">
        <v>10</v>
      </c>
      <c r="D18" s="11" t="s">
        <v>49</v>
      </c>
      <c r="E18" s="11" t="s">
        <v>139</v>
      </c>
      <c r="F18" s="11" t="s">
        <v>122</v>
      </c>
      <c r="G18" s="11" t="s">
        <v>140</v>
      </c>
      <c r="H18" s="11"/>
      <c r="I18" s="12" t="s">
        <v>141</v>
      </c>
      <c r="J18" s="11"/>
      <c r="K18" s="11"/>
      <c r="L18" s="11"/>
      <c r="M18" s="11"/>
      <c r="N18" s="11"/>
      <c r="O18" s="12" t="s">
        <v>54</v>
      </c>
      <c r="P18" s="11"/>
      <c r="Q18" s="11" t="s">
        <v>55</v>
      </c>
      <c r="R18" s="11" t="n">
        <f aca="false">COUNTA(H18:M18)</f>
        <v>1</v>
      </c>
      <c r="S18" s="11" t="s">
        <v>142</v>
      </c>
      <c r="T18" s="13" t="s">
        <v>143</v>
      </c>
    </row>
    <row r="19" customFormat="false" ht="15" hidden="false" customHeight="false" outlineLevel="0" collapsed="false">
      <c r="A19" s="11" t="n">
        <v>18</v>
      </c>
      <c r="B19" s="11" t="s">
        <v>144</v>
      </c>
      <c r="C19" s="11" t="s">
        <v>10</v>
      </c>
      <c r="D19" s="11" t="s">
        <v>49</v>
      </c>
      <c r="E19" s="11" t="s">
        <v>145</v>
      </c>
      <c r="F19" s="11" t="s">
        <v>51</v>
      </c>
      <c r="G19" s="11" t="s">
        <v>146</v>
      </c>
      <c r="H19" s="11"/>
      <c r="I19" s="11"/>
      <c r="J19" s="11"/>
      <c r="K19" s="11"/>
      <c r="L19" s="11"/>
      <c r="M19" s="11"/>
      <c r="N19" s="11"/>
      <c r="O19" s="12" t="s">
        <v>54</v>
      </c>
      <c r="P19" s="11"/>
      <c r="Q19" s="11" t="s">
        <v>73</v>
      </c>
      <c r="R19" s="11" t="n">
        <f aca="false">COUNTA(H19:M19)</f>
        <v>0</v>
      </c>
      <c r="S19" s="11" t="s">
        <v>147</v>
      </c>
      <c r="T19" s="13" t="s">
        <v>148</v>
      </c>
    </row>
    <row r="20" customFormat="false" ht="15" hidden="false" customHeight="false" outlineLevel="0" collapsed="false">
      <c r="A20" s="11" t="n">
        <v>19</v>
      </c>
      <c r="B20" s="11" t="s">
        <v>149</v>
      </c>
      <c r="C20" s="11" t="s">
        <v>10</v>
      </c>
      <c r="D20" s="11" t="s">
        <v>49</v>
      </c>
      <c r="E20" s="11" t="s">
        <v>150</v>
      </c>
      <c r="F20" s="11" t="s">
        <v>122</v>
      </c>
      <c r="G20" s="11" t="s">
        <v>66</v>
      </c>
      <c r="H20" s="11"/>
      <c r="I20" s="12" t="s">
        <v>151</v>
      </c>
      <c r="J20" s="11"/>
      <c r="K20" s="11"/>
      <c r="L20" s="11"/>
      <c r="M20" s="11"/>
      <c r="N20" s="11"/>
      <c r="O20" s="12" t="s">
        <v>54</v>
      </c>
      <c r="P20" s="11"/>
      <c r="Q20" s="11" t="s">
        <v>55</v>
      </c>
      <c r="R20" s="11" t="n">
        <f aca="false">COUNTA(H20:M20)</f>
        <v>1</v>
      </c>
      <c r="S20" s="11" t="s">
        <v>152</v>
      </c>
      <c r="T20" s="13" t="s">
        <v>153</v>
      </c>
    </row>
    <row r="21" customFormat="false" ht="15" hidden="false" customHeight="false" outlineLevel="0" collapsed="false">
      <c r="A21" s="11" t="n">
        <v>20</v>
      </c>
      <c r="B21" s="11" t="s">
        <v>154</v>
      </c>
      <c r="C21" s="11" t="s">
        <v>10</v>
      </c>
      <c r="D21" s="11" t="s">
        <v>49</v>
      </c>
      <c r="E21" s="11" t="s">
        <v>155</v>
      </c>
      <c r="F21" s="11" t="s">
        <v>156</v>
      </c>
      <c r="G21" s="11" t="s">
        <v>157</v>
      </c>
      <c r="H21" s="11"/>
      <c r="I21" s="12" t="s">
        <v>158</v>
      </c>
      <c r="J21" s="11"/>
      <c r="K21" s="11"/>
      <c r="L21" s="11"/>
      <c r="M21" s="11"/>
      <c r="N21" s="11"/>
      <c r="O21" s="12" t="s">
        <v>54</v>
      </c>
      <c r="P21" s="11"/>
      <c r="Q21" s="11" t="s">
        <v>55</v>
      </c>
      <c r="R21" s="11" t="n">
        <f aca="false">COUNTA(H21:M21)</f>
        <v>1</v>
      </c>
      <c r="S21" s="11" t="s">
        <v>159</v>
      </c>
      <c r="T21" s="13" t="s">
        <v>160</v>
      </c>
    </row>
    <row r="22" customFormat="false" ht="15" hidden="false" customHeight="false" outlineLevel="0" collapsed="false">
      <c r="A22" s="11" t="n">
        <v>21</v>
      </c>
      <c r="B22" s="11" t="s">
        <v>161</v>
      </c>
      <c r="C22" s="11" t="s">
        <v>10</v>
      </c>
      <c r="D22" s="11" t="s">
        <v>49</v>
      </c>
      <c r="E22" s="11" t="s">
        <v>162</v>
      </c>
      <c r="F22" s="11" t="s">
        <v>51</v>
      </c>
      <c r="G22" s="11" t="s">
        <v>163</v>
      </c>
      <c r="H22" s="11"/>
      <c r="I22" s="11"/>
      <c r="J22" s="11"/>
      <c r="K22" s="11"/>
      <c r="L22" s="11"/>
      <c r="M22" s="11"/>
      <c r="N22" s="11"/>
      <c r="O22" s="12" t="s">
        <v>54</v>
      </c>
      <c r="P22" s="11"/>
      <c r="Q22" s="11" t="s">
        <v>73</v>
      </c>
      <c r="R22" s="11" t="n">
        <f aca="false">COUNTA(H22:M22)</f>
        <v>0</v>
      </c>
      <c r="S22" s="11" t="s">
        <v>164</v>
      </c>
      <c r="T22" s="13" t="s">
        <v>165</v>
      </c>
    </row>
    <row r="23" customFormat="false" ht="15" hidden="false" customHeight="false" outlineLevel="0" collapsed="false">
      <c r="A23" s="11" t="n">
        <v>22</v>
      </c>
      <c r="B23" s="11" t="s">
        <v>166</v>
      </c>
      <c r="C23" s="11" t="s">
        <v>10</v>
      </c>
      <c r="D23" s="11" t="s">
        <v>49</v>
      </c>
      <c r="E23" s="11" t="s">
        <v>167</v>
      </c>
      <c r="F23" s="11" t="s">
        <v>51</v>
      </c>
      <c r="G23" s="11" t="s">
        <v>168</v>
      </c>
      <c r="H23" s="11"/>
      <c r="I23" s="11"/>
      <c r="J23" s="11"/>
      <c r="K23" s="11"/>
      <c r="L23" s="11" t="s">
        <v>169</v>
      </c>
      <c r="M23" s="11"/>
      <c r="N23" s="11"/>
      <c r="O23" s="12" t="s">
        <v>54</v>
      </c>
      <c r="P23" s="11"/>
      <c r="Q23" s="11" t="s">
        <v>55</v>
      </c>
      <c r="R23" s="11" t="n">
        <f aca="false">COUNTA(H23:M23)</f>
        <v>1</v>
      </c>
      <c r="S23" s="11" t="s">
        <v>170</v>
      </c>
      <c r="T23" s="13" t="s">
        <v>171</v>
      </c>
    </row>
    <row r="24" customFormat="false" ht="15" hidden="false" customHeight="false" outlineLevel="0" collapsed="false">
      <c r="A24" s="11" t="n">
        <v>23</v>
      </c>
      <c r="B24" s="11" t="s">
        <v>172</v>
      </c>
      <c r="C24" s="11" t="s">
        <v>10</v>
      </c>
      <c r="D24" s="11" t="s">
        <v>49</v>
      </c>
      <c r="E24" s="11" t="s">
        <v>173</v>
      </c>
      <c r="F24" s="11" t="s">
        <v>51</v>
      </c>
      <c r="G24" s="11" t="s">
        <v>174</v>
      </c>
      <c r="H24" s="11"/>
      <c r="I24" s="11"/>
      <c r="J24" s="11"/>
      <c r="K24" s="11"/>
      <c r="L24" s="11"/>
      <c r="M24" s="11"/>
      <c r="N24" s="11"/>
      <c r="O24" s="12" t="s">
        <v>54</v>
      </c>
      <c r="P24" s="11"/>
      <c r="Q24" s="11" t="s">
        <v>55</v>
      </c>
      <c r="R24" s="11" t="n">
        <f aca="false">COUNTA(H24:M24)</f>
        <v>0</v>
      </c>
      <c r="S24" s="11" t="s">
        <v>175</v>
      </c>
      <c r="T24" s="13" t="s">
        <v>104</v>
      </c>
    </row>
    <row r="25" customFormat="false" ht="15" hidden="false" customHeight="false" outlineLevel="0" collapsed="false">
      <c r="A25" s="11" t="n">
        <v>24</v>
      </c>
      <c r="B25" s="11" t="s">
        <v>176</v>
      </c>
      <c r="C25" s="11" t="s">
        <v>10</v>
      </c>
      <c r="D25" s="11" t="s">
        <v>49</v>
      </c>
      <c r="E25" s="11" t="s">
        <v>177</v>
      </c>
      <c r="F25" s="11" t="s">
        <v>51</v>
      </c>
      <c r="G25" s="11" t="s">
        <v>178</v>
      </c>
      <c r="H25" s="11"/>
      <c r="I25" s="11"/>
      <c r="J25" s="11"/>
      <c r="K25" s="11"/>
      <c r="L25" s="11"/>
      <c r="M25" s="11"/>
      <c r="N25" s="11"/>
      <c r="O25" s="12" t="s">
        <v>54</v>
      </c>
      <c r="P25" s="11"/>
      <c r="Q25" s="11" t="s">
        <v>55</v>
      </c>
      <c r="R25" s="11" t="n">
        <f aca="false">COUNTA(H25:M25)</f>
        <v>0</v>
      </c>
      <c r="S25" s="11" t="s">
        <v>179</v>
      </c>
      <c r="T25" s="13" t="s">
        <v>171</v>
      </c>
    </row>
    <row r="26" customFormat="false" ht="15" hidden="false" customHeight="false" outlineLevel="0" collapsed="false">
      <c r="A26" s="11" t="n">
        <v>25</v>
      </c>
      <c r="B26" s="11" t="s">
        <v>180</v>
      </c>
      <c r="C26" s="11" t="s">
        <v>10</v>
      </c>
      <c r="D26" s="11" t="s">
        <v>49</v>
      </c>
      <c r="E26" s="11" t="s">
        <v>181</v>
      </c>
      <c r="F26" s="11" t="s">
        <v>51</v>
      </c>
      <c r="G26" s="11" t="s">
        <v>182</v>
      </c>
      <c r="H26" s="11"/>
      <c r="I26" s="11"/>
      <c r="J26" s="11"/>
      <c r="K26" s="11"/>
      <c r="L26" s="11"/>
      <c r="M26" s="11"/>
      <c r="N26" s="11"/>
      <c r="O26" s="12" t="s">
        <v>54</v>
      </c>
      <c r="P26" s="11"/>
      <c r="Q26" s="11" t="s">
        <v>73</v>
      </c>
      <c r="R26" s="11" t="n">
        <f aca="false">COUNTA(H26:M26)</f>
        <v>0</v>
      </c>
      <c r="S26" s="11" t="s">
        <v>183</v>
      </c>
      <c r="T26" s="13" t="s">
        <v>184</v>
      </c>
    </row>
    <row r="27" customFormat="false" ht="15" hidden="false" customHeight="false" outlineLevel="0" collapsed="false">
      <c r="A27" s="11" t="n">
        <v>26</v>
      </c>
      <c r="B27" s="11" t="s">
        <v>185</v>
      </c>
      <c r="C27" s="11" t="s">
        <v>10</v>
      </c>
      <c r="D27" s="11" t="s">
        <v>49</v>
      </c>
      <c r="E27" s="11" t="s">
        <v>186</v>
      </c>
      <c r="F27" s="11" t="s">
        <v>51</v>
      </c>
      <c r="G27" s="11" t="s">
        <v>187</v>
      </c>
      <c r="H27" s="11"/>
      <c r="I27" s="11"/>
      <c r="J27" s="11"/>
      <c r="K27" s="11"/>
      <c r="L27" s="11"/>
      <c r="M27" s="11"/>
      <c r="N27" s="11"/>
      <c r="O27" s="12" t="s">
        <v>54</v>
      </c>
      <c r="P27" s="11"/>
      <c r="Q27" s="11" t="s">
        <v>73</v>
      </c>
      <c r="R27" s="11" t="n">
        <f aca="false">COUNTA(H27:M27)</f>
        <v>0</v>
      </c>
      <c r="S27" s="11" t="s">
        <v>188</v>
      </c>
      <c r="T27" s="13" t="s">
        <v>189</v>
      </c>
    </row>
    <row r="28" customFormat="false" ht="15" hidden="false" customHeight="false" outlineLevel="0" collapsed="false">
      <c r="A28" s="11" t="n">
        <v>27</v>
      </c>
      <c r="B28" s="11" t="s">
        <v>190</v>
      </c>
      <c r="C28" s="11" t="s">
        <v>10</v>
      </c>
      <c r="D28" s="11" t="s">
        <v>49</v>
      </c>
      <c r="E28" s="11" t="s">
        <v>191</v>
      </c>
      <c r="F28" s="11" t="s">
        <v>51</v>
      </c>
      <c r="G28" s="11" t="s">
        <v>192</v>
      </c>
      <c r="H28" s="11"/>
      <c r="I28" s="11"/>
      <c r="J28" s="11"/>
      <c r="K28" s="11"/>
      <c r="L28" s="11"/>
      <c r="M28" s="11"/>
      <c r="N28" s="11"/>
      <c r="O28" s="12" t="s">
        <v>54</v>
      </c>
      <c r="P28" s="11"/>
      <c r="Q28" s="11" t="s">
        <v>55</v>
      </c>
      <c r="R28" s="11" t="n">
        <f aca="false">COUNTA(H28:M28)</f>
        <v>0</v>
      </c>
      <c r="S28" s="11" t="s">
        <v>193</v>
      </c>
      <c r="T28" s="13" t="s">
        <v>194</v>
      </c>
    </row>
    <row r="29" customFormat="false" ht="15" hidden="false" customHeight="false" outlineLevel="0" collapsed="false">
      <c r="A29" s="11" t="n">
        <v>28</v>
      </c>
      <c r="B29" s="11" t="s">
        <v>195</v>
      </c>
      <c r="C29" s="11" t="s">
        <v>10</v>
      </c>
      <c r="D29" s="11" t="s">
        <v>49</v>
      </c>
      <c r="E29" s="11" t="s">
        <v>196</v>
      </c>
      <c r="F29" s="11" t="s">
        <v>51</v>
      </c>
      <c r="G29" s="11" t="s">
        <v>197</v>
      </c>
      <c r="H29" s="11"/>
      <c r="I29" s="11"/>
      <c r="J29" s="11"/>
      <c r="K29" s="11"/>
      <c r="L29" s="11"/>
      <c r="M29" s="11"/>
      <c r="N29" s="11"/>
      <c r="O29" s="12" t="s">
        <v>54</v>
      </c>
      <c r="P29" s="11"/>
      <c r="Q29" s="11" t="s">
        <v>55</v>
      </c>
      <c r="R29" s="11" t="n">
        <f aca="false">COUNTA(H29:M29)</f>
        <v>0</v>
      </c>
      <c r="S29" s="11" t="s">
        <v>198</v>
      </c>
      <c r="T29" s="13" t="s">
        <v>199</v>
      </c>
    </row>
    <row r="30" customFormat="false" ht="15" hidden="false" customHeight="false" outlineLevel="0" collapsed="false">
      <c r="A30" s="11" t="n">
        <v>29</v>
      </c>
      <c r="B30" s="11" t="s">
        <v>200</v>
      </c>
      <c r="C30" s="11" t="s">
        <v>10</v>
      </c>
      <c r="D30" s="11" t="s">
        <v>49</v>
      </c>
      <c r="E30" s="11" t="s">
        <v>201</v>
      </c>
      <c r="F30" s="11" t="s">
        <v>51</v>
      </c>
      <c r="G30" s="11" t="s">
        <v>202</v>
      </c>
      <c r="H30" s="11"/>
      <c r="I30" s="12" t="s">
        <v>203</v>
      </c>
      <c r="J30" s="11"/>
      <c r="K30" s="11"/>
      <c r="L30" s="11"/>
      <c r="M30" s="11"/>
      <c r="N30" s="11"/>
      <c r="O30" s="12" t="s">
        <v>54</v>
      </c>
      <c r="P30" s="11"/>
      <c r="Q30" s="11" t="s">
        <v>55</v>
      </c>
      <c r="R30" s="11" t="n">
        <f aca="false">COUNTA(H30:M30)</f>
        <v>1</v>
      </c>
      <c r="S30" s="11" t="s">
        <v>204</v>
      </c>
      <c r="T30" s="13" t="s">
        <v>205</v>
      </c>
    </row>
    <row r="31" customFormat="false" ht="15" hidden="false" customHeight="false" outlineLevel="0" collapsed="false">
      <c r="A31" s="11" t="n">
        <v>30</v>
      </c>
      <c r="B31" s="11" t="s">
        <v>206</v>
      </c>
      <c r="C31" s="11" t="s">
        <v>10</v>
      </c>
      <c r="D31" s="11" t="s">
        <v>49</v>
      </c>
      <c r="E31" s="11" t="s">
        <v>207</v>
      </c>
      <c r="F31" s="11" t="s">
        <v>51</v>
      </c>
      <c r="G31" s="11" t="s">
        <v>66</v>
      </c>
      <c r="H31" s="11"/>
      <c r="I31" s="11"/>
      <c r="J31" s="11"/>
      <c r="K31" s="11"/>
      <c r="L31" s="11"/>
      <c r="M31" s="11"/>
      <c r="N31" s="11"/>
      <c r="O31" s="12" t="s">
        <v>54</v>
      </c>
      <c r="P31" s="11"/>
      <c r="Q31" s="11" t="s">
        <v>55</v>
      </c>
      <c r="R31" s="11" t="n">
        <f aca="false">COUNTA(H31:M31)</f>
        <v>0</v>
      </c>
      <c r="S31" s="11" t="s">
        <v>208</v>
      </c>
      <c r="T31" s="13" t="s">
        <v>209</v>
      </c>
    </row>
    <row r="32" customFormat="false" ht="15" hidden="false" customHeight="false" outlineLevel="0" collapsed="false">
      <c r="A32" s="11" t="n">
        <v>31</v>
      </c>
      <c r="B32" s="11" t="s">
        <v>210</v>
      </c>
      <c r="C32" s="11" t="s">
        <v>10</v>
      </c>
      <c r="D32" s="11" t="s">
        <v>49</v>
      </c>
      <c r="E32" s="11" t="s">
        <v>211</v>
      </c>
      <c r="F32" s="11" t="s">
        <v>122</v>
      </c>
      <c r="G32" s="11" t="s">
        <v>212</v>
      </c>
      <c r="H32" s="11"/>
      <c r="I32" s="11"/>
      <c r="J32" s="11"/>
      <c r="K32" s="11"/>
      <c r="L32" s="11" t="s">
        <v>213</v>
      </c>
      <c r="M32" s="11"/>
      <c r="N32" s="11"/>
      <c r="O32" s="12" t="s">
        <v>54</v>
      </c>
      <c r="P32" s="11"/>
      <c r="Q32" s="11" t="s">
        <v>73</v>
      </c>
      <c r="R32" s="11" t="n">
        <f aca="false">COUNTA(H32:M32)</f>
        <v>1</v>
      </c>
      <c r="S32" s="11" t="s">
        <v>214</v>
      </c>
      <c r="T32" s="13" t="s">
        <v>215</v>
      </c>
    </row>
    <row r="33" customFormat="false" ht="15" hidden="false" customHeight="false" outlineLevel="0" collapsed="false">
      <c r="A33" s="11" t="n">
        <v>32</v>
      </c>
      <c r="B33" s="11" t="s">
        <v>216</v>
      </c>
      <c r="C33" s="11" t="s">
        <v>10</v>
      </c>
      <c r="D33" s="11" t="s">
        <v>217</v>
      </c>
      <c r="E33" s="11" t="s">
        <v>218</v>
      </c>
      <c r="F33" s="11" t="s">
        <v>51</v>
      </c>
      <c r="G33" s="11" t="s">
        <v>219</v>
      </c>
      <c r="H33" s="11"/>
      <c r="I33" s="11"/>
      <c r="J33" s="11"/>
      <c r="K33" s="11"/>
      <c r="L33" s="11"/>
      <c r="M33" s="11"/>
      <c r="N33" s="11"/>
      <c r="O33" s="12" t="s">
        <v>54</v>
      </c>
      <c r="P33" s="11"/>
      <c r="Q33" s="11" t="s">
        <v>73</v>
      </c>
      <c r="R33" s="11" t="n">
        <f aca="false">COUNTA(H33:M33)</f>
        <v>0</v>
      </c>
      <c r="S33" s="11" t="s">
        <v>220</v>
      </c>
      <c r="T33" s="13" t="s">
        <v>221</v>
      </c>
    </row>
    <row r="34" customFormat="false" ht="15" hidden="false" customHeight="false" outlineLevel="0" collapsed="false">
      <c r="A34" s="11" t="n">
        <v>33</v>
      </c>
      <c r="B34" s="11" t="s">
        <v>222</v>
      </c>
      <c r="C34" s="11" t="s">
        <v>10</v>
      </c>
      <c r="D34" s="11" t="s">
        <v>217</v>
      </c>
      <c r="E34" s="11" t="s">
        <v>223</v>
      </c>
      <c r="F34" s="11" t="s">
        <v>156</v>
      </c>
      <c r="G34" s="11" t="s">
        <v>224</v>
      </c>
      <c r="H34" s="11"/>
      <c r="I34" s="11"/>
      <c r="J34" s="11"/>
      <c r="K34" s="11"/>
      <c r="L34" s="11"/>
      <c r="M34" s="11"/>
      <c r="N34" s="11"/>
      <c r="O34" s="12" t="s">
        <v>54</v>
      </c>
      <c r="P34" s="11"/>
      <c r="Q34" s="11" t="s">
        <v>73</v>
      </c>
      <c r="R34" s="11" t="n">
        <f aca="false">COUNTA(H34:M34)</f>
        <v>0</v>
      </c>
      <c r="S34" s="11" t="s">
        <v>225</v>
      </c>
      <c r="T34" s="13" t="s">
        <v>226</v>
      </c>
    </row>
    <row r="35" customFormat="false" ht="15" hidden="false" customHeight="false" outlineLevel="0" collapsed="false">
      <c r="A35" s="11" t="n">
        <v>34</v>
      </c>
      <c r="B35" s="11" t="s">
        <v>227</v>
      </c>
      <c r="C35" s="11" t="s">
        <v>10</v>
      </c>
      <c r="D35" s="11" t="s">
        <v>217</v>
      </c>
      <c r="E35" s="11" t="s">
        <v>228</v>
      </c>
      <c r="F35" s="11" t="s">
        <v>51</v>
      </c>
      <c r="G35" s="11" t="s">
        <v>229</v>
      </c>
      <c r="H35" s="11"/>
      <c r="I35" s="11"/>
      <c r="J35" s="11"/>
      <c r="K35" s="11"/>
      <c r="L35" s="11"/>
      <c r="M35" s="11"/>
      <c r="N35" s="11"/>
      <c r="O35" s="12" t="s">
        <v>54</v>
      </c>
      <c r="P35" s="11"/>
      <c r="Q35" s="11" t="s">
        <v>73</v>
      </c>
      <c r="R35" s="11" t="n">
        <f aca="false">COUNTA(H35:M35)</f>
        <v>0</v>
      </c>
      <c r="S35" s="11" t="s">
        <v>230</v>
      </c>
      <c r="T35" s="13" t="s">
        <v>231</v>
      </c>
    </row>
    <row r="36" customFormat="false" ht="15" hidden="false" customHeight="false" outlineLevel="0" collapsed="false">
      <c r="A36" s="11" t="n">
        <v>35</v>
      </c>
      <c r="B36" s="11" t="s">
        <v>232</v>
      </c>
      <c r="C36" s="11" t="s">
        <v>10</v>
      </c>
      <c r="D36" s="11" t="s">
        <v>217</v>
      </c>
      <c r="E36" s="11" t="s">
        <v>233</v>
      </c>
      <c r="F36" s="11" t="s">
        <v>51</v>
      </c>
      <c r="G36" s="11" t="s">
        <v>234</v>
      </c>
      <c r="H36" s="11"/>
      <c r="I36" s="11"/>
      <c r="J36" s="11"/>
      <c r="K36" s="11"/>
      <c r="L36" s="11"/>
      <c r="M36" s="11"/>
      <c r="N36" s="11"/>
      <c r="O36" s="12" t="s">
        <v>54</v>
      </c>
      <c r="P36" s="11"/>
      <c r="Q36" s="11" t="s">
        <v>73</v>
      </c>
      <c r="R36" s="11" t="n">
        <f aca="false">COUNTA(H36:M36)</f>
        <v>0</v>
      </c>
      <c r="S36" s="11" t="s">
        <v>235</v>
      </c>
      <c r="T36" s="13" t="s">
        <v>231</v>
      </c>
    </row>
    <row r="37" customFormat="false" ht="15" hidden="false" customHeight="false" outlineLevel="0" collapsed="false">
      <c r="A37" s="11" t="n">
        <v>36</v>
      </c>
      <c r="B37" s="11" t="s">
        <v>236</v>
      </c>
      <c r="C37" s="11" t="s">
        <v>10</v>
      </c>
      <c r="D37" s="11" t="s">
        <v>217</v>
      </c>
      <c r="E37" s="11" t="s">
        <v>237</v>
      </c>
      <c r="F37" s="11" t="s">
        <v>51</v>
      </c>
      <c r="G37" s="11" t="s">
        <v>238</v>
      </c>
      <c r="H37" s="11"/>
      <c r="I37" s="11"/>
      <c r="J37" s="11"/>
      <c r="K37" s="11"/>
      <c r="L37" s="11"/>
      <c r="M37" s="11"/>
      <c r="N37" s="11"/>
      <c r="O37" s="12" t="s">
        <v>54</v>
      </c>
      <c r="P37" s="11"/>
      <c r="Q37" s="11" t="s">
        <v>73</v>
      </c>
      <c r="R37" s="11" t="n">
        <f aca="false">COUNTA(H37:M37)</f>
        <v>0</v>
      </c>
      <c r="S37" s="11" t="s">
        <v>239</v>
      </c>
      <c r="T37" s="13" t="s">
        <v>240</v>
      </c>
    </row>
    <row r="38" customFormat="false" ht="15" hidden="false" customHeight="false" outlineLevel="0" collapsed="false">
      <c r="A38" s="11" t="n">
        <v>37</v>
      </c>
      <c r="B38" s="11" t="s">
        <v>241</v>
      </c>
      <c r="C38" s="11" t="s">
        <v>10</v>
      </c>
      <c r="D38" s="11" t="s">
        <v>217</v>
      </c>
      <c r="E38" s="11" t="s">
        <v>242</v>
      </c>
      <c r="F38" s="11" t="s">
        <v>51</v>
      </c>
      <c r="G38" s="11" t="s">
        <v>243</v>
      </c>
      <c r="H38" s="11"/>
      <c r="I38" s="11"/>
      <c r="J38" s="11"/>
      <c r="K38" s="11"/>
      <c r="L38" s="11"/>
      <c r="M38" s="11"/>
      <c r="N38" s="11"/>
      <c r="O38" s="12" t="s">
        <v>54</v>
      </c>
      <c r="P38" s="11"/>
      <c r="Q38" s="11" t="s">
        <v>73</v>
      </c>
      <c r="R38" s="11" t="n">
        <f aca="false">COUNTA(H38:M38)</f>
        <v>0</v>
      </c>
      <c r="S38" s="11" t="s">
        <v>244</v>
      </c>
      <c r="T38" s="13" t="s">
        <v>245</v>
      </c>
    </row>
    <row r="39" customFormat="false" ht="15" hidden="false" customHeight="false" outlineLevel="0" collapsed="false">
      <c r="A39" s="11" t="n">
        <v>38</v>
      </c>
      <c r="B39" s="11" t="s">
        <v>246</v>
      </c>
      <c r="C39" s="11" t="s">
        <v>10</v>
      </c>
      <c r="D39" s="11" t="s">
        <v>217</v>
      </c>
      <c r="E39" s="11" t="s">
        <v>247</v>
      </c>
      <c r="F39" s="11" t="s">
        <v>51</v>
      </c>
      <c r="G39" s="11" t="s">
        <v>248</v>
      </c>
      <c r="H39" s="11"/>
      <c r="I39" s="11"/>
      <c r="J39" s="11"/>
      <c r="K39" s="11"/>
      <c r="L39" s="11"/>
      <c r="M39" s="11"/>
      <c r="N39" s="11"/>
      <c r="O39" s="12" t="s">
        <v>54</v>
      </c>
      <c r="P39" s="11"/>
      <c r="Q39" s="11" t="s">
        <v>73</v>
      </c>
      <c r="R39" s="11" t="n">
        <f aca="false">COUNTA(H39:M39)</f>
        <v>0</v>
      </c>
      <c r="S39" s="11" t="s">
        <v>249</v>
      </c>
      <c r="T39" s="13" t="s">
        <v>250</v>
      </c>
    </row>
    <row r="40" customFormat="false" ht="15" hidden="false" customHeight="false" outlineLevel="0" collapsed="false">
      <c r="A40" s="11" t="n">
        <v>39</v>
      </c>
      <c r="B40" s="11" t="s">
        <v>251</v>
      </c>
      <c r="C40" s="11" t="s">
        <v>10</v>
      </c>
      <c r="D40" s="11" t="s">
        <v>252</v>
      </c>
      <c r="E40" s="11" t="s">
        <v>253</v>
      </c>
      <c r="F40" s="11" t="s">
        <v>51</v>
      </c>
      <c r="G40" s="11" t="s">
        <v>254</v>
      </c>
      <c r="H40" s="11"/>
      <c r="I40" s="12" t="s">
        <v>255</v>
      </c>
      <c r="J40" s="11"/>
      <c r="K40" s="11"/>
      <c r="L40" s="11"/>
      <c r="M40" s="11"/>
      <c r="N40" s="11"/>
      <c r="O40" s="12" t="s">
        <v>54</v>
      </c>
      <c r="P40" s="11"/>
      <c r="Q40" s="11" t="s">
        <v>55</v>
      </c>
      <c r="R40" s="11" t="n">
        <f aca="false">COUNTA(H40:M40)</f>
        <v>1</v>
      </c>
      <c r="S40" s="11" t="s">
        <v>256</v>
      </c>
      <c r="T40" s="13" t="s">
        <v>257</v>
      </c>
    </row>
    <row r="41" customFormat="false" ht="15" hidden="false" customHeight="false" outlineLevel="0" collapsed="false">
      <c r="A41" s="11" t="n">
        <v>40</v>
      </c>
      <c r="B41" s="11" t="s">
        <v>258</v>
      </c>
      <c r="C41" s="11" t="s">
        <v>11</v>
      </c>
      <c r="D41" s="11" t="s">
        <v>259</v>
      </c>
      <c r="E41" s="11" t="s">
        <v>260</v>
      </c>
      <c r="F41" s="11" t="s">
        <v>122</v>
      </c>
      <c r="G41" s="11" t="s">
        <v>261</v>
      </c>
      <c r="H41" s="12" t="s">
        <v>262</v>
      </c>
      <c r="I41" s="11"/>
      <c r="J41" s="11"/>
      <c r="K41" s="11"/>
      <c r="L41" s="11" t="s">
        <v>263</v>
      </c>
      <c r="M41" s="11"/>
      <c r="N41" s="11"/>
      <c r="O41" s="12" t="s">
        <v>54</v>
      </c>
      <c r="P41" s="11"/>
      <c r="Q41" s="11" t="s">
        <v>55</v>
      </c>
      <c r="R41" s="11" t="n">
        <f aca="false">COUNTA(H41:M41)</f>
        <v>2</v>
      </c>
      <c r="S41" s="11" t="s">
        <v>264</v>
      </c>
      <c r="T41" s="13" t="s">
        <v>265</v>
      </c>
    </row>
    <row r="42" customFormat="false" ht="15" hidden="false" customHeight="false" outlineLevel="0" collapsed="false">
      <c r="A42" s="11" t="n">
        <v>41</v>
      </c>
      <c r="B42" s="11" t="s">
        <v>266</v>
      </c>
      <c r="C42" s="11" t="s">
        <v>11</v>
      </c>
      <c r="D42" s="11" t="s">
        <v>259</v>
      </c>
      <c r="E42" s="11" t="s">
        <v>267</v>
      </c>
      <c r="F42" s="11" t="s">
        <v>51</v>
      </c>
      <c r="G42" s="11" t="s">
        <v>268</v>
      </c>
      <c r="H42" s="12" t="s">
        <v>269</v>
      </c>
      <c r="I42" s="11"/>
      <c r="J42" s="11"/>
      <c r="K42" s="11"/>
      <c r="L42" s="11" t="s">
        <v>270</v>
      </c>
      <c r="M42" s="11"/>
      <c r="N42" s="11"/>
      <c r="O42" s="12" t="s">
        <v>54</v>
      </c>
      <c r="P42" s="11"/>
      <c r="Q42" s="11" t="s">
        <v>55</v>
      </c>
      <c r="R42" s="11" t="n">
        <f aca="false">COUNTA(H42:M42)</f>
        <v>2</v>
      </c>
      <c r="S42" s="11" t="s">
        <v>271</v>
      </c>
      <c r="T42" s="13" t="s">
        <v>272</v>
      </c>
    </row>
    <row r="43" customFormat="false" ht="15" hidden="false" customHeight="false" outlineLevel="0" collapsed="false">
      <c r="A43" s="11" t="n">
        <v>42</v>
      </c>
      <c r="B43" s="11" t="s">
        <v>273</v>
      </c>
      <c r="C43" s="11" t="s">
        <v>11</v>
      </c>
      <c r="D43" s="11" t="s">
        <v>259</v>
      </c>
      <c r="E43" s="11"/>
      <c r="F43" s="11" t="s">
        <v>122</v>
      </c>
      <c r="G43" s="11" t="s">
        <v>274</v>
      </c>
      <c r="H43" s="12" t="s">
        <v>275</v>
      </c>
      <c r="I43" s="11"/>
      <c r="J43" s="11"/>
      <c r="K43" s="11"/>
      <c r="L43" s="11" t="s">
        <v>276</v>
      </c>
      <c r="M43" s="11"/>
      <c r="N43" s="11"/>
      <c r="O43" s="12" t="s">
        <v>54</v>
      </c>
      <c r="P43" s="11"/>
      <c r="Q43" s="11" t="s">
        <v>55</v>
      </c>
      <c r="R43" s="11" t="n">
        <f aca="false">COUNTA(H43:M43)</f>
        <v>2</v>
      </c>
      <c r="S43" s="11"/>
      <c r="T43" s="13" t="s">
        <v>277</v>
      </c>
    </row>
    <row r="44" customFormat="false" ht="15" hidden="false" customHeight="false" outlineLevel="0" collapsed="false">
      <c r="A44" s="11" t="n">
        <v>43</v>
      </c>
      <c r="B44" s="11" t="s">
        <v>278</v>
      </c>
      <c r="C44" s="11" t="s">
        <v>11</v>
      </c>
      <c r="D44" s="11" t="s">
        <v>259</v>
      </c>
      <c r="E44" s="11"/>
      <c r="F44" s="11" t="s">
        <v>51</v>
      </c>
      <c r="G44" s="11" t="s">
        <v>66</v>
      </c>
      <c r="H44" s="11"/>
      <c r="I44" s="11"/>
      <c r="J44" s="11"/>
      <c r="K44" s="11"/>
      <c r="L44" s="11"/>
      <c r="M44" s="11"/>
      <c r="N44" s="11"/>
      <c r="O44" s="12" t="s">
        <v>54</v>
      </c>
      <c r="P44" s="11"/>
      <c r="Q44" s="11" t="s">
        <v>55</v>
      </c>
      <c r="R44" s="11" t="n">
        <f aca="false">COUNTA(H44:M44)</f>
        <v>0</v>
      </c>
      <c r="S44" s="11" t="s">
        <v>279</v>
      </c>
      <c r="T44" s="13" t="s">
        <v>280</v>
      </c>
    </row>
    <row r="45" customFormat="false" ht="15" hidden="false" customHeight="false" outlineLevel="0" collapsed="false">
      <c r="A45" s="11" t="n">
        <v>44</v>
      </c>
      <c r="B45" s="11" t="s">
        <v>281</v>
      </c>
      <c r="C45" s="11" t="s">
        <v>11</v>
      </c>
      <c r="D45" s="11" t="s">
        <v>259</v>
      </c>
      <c r="E45" s="11" t="s">
        <v>282</v>
      </c>
      <c r="F45" s="11" t="s">
        <v>51</v>
      </c>
      <c r="G45" s="11" t="s">
        <v>283</v>
      </c>
      <c r="H45" s="12" t="s">
        <v>284</v>
      </c>
      <c r="I45" s="12" t="s">
        <v>285</v>
      </c>
      <c r="J45" s="11"/>
      <c r="K45" s="11"/>
      <c r="L45" s="11" t="s">
        <v>286</v>
      </c>
      <c r="M45" s="11"/>
      <c r="N45" s="11"/>
      <c r="O45" s="12" t="s">
        <v>54</v>
      </c>
      <c r="P45" s="11"/>
      <c r="Q45" s="11" t="s">
        <v>55</v>
      </c>
      <c r="R45" s="11" t="n">
        <f aca="false">COUNTA(H45:M45)</f>
        <v>3</v>
      </c>
      <c r="S45" s="11" t="s">
        <v>287</v>
      </c>
      <c r="T45" s="13" t="s">
        <v>288</v>
      </c>
    </row>
    <row r="46" customFormat="false" ht="15" hidden="false" customHeight="false" outlineLevel="0" collapsed="false">
      <c r="A46" s="11" t="n">
        <v>45</v>
      </c>
      <c r="B46" s="11" t="s">
        <v>289</v>
      </c>
      <c r="C46" s="11" t="s">
        <v>11</v>
      </c>
      <c r="D46" s="11" t="s">
        <v>259</v>
      </c>
      <c r="E46" s="11"/>
      <c r="F46" s="11" t="s">
        <v>290</v>
      </c>
      <c r="G46" s="11" t="s">
        <v>291</v>
      </c>
      <c r="H46" s="11"/>
      <c r="I46" s="11"/>
      <c r="J46" s="12" t="s">
        <v>292</v>
      </c>
      <c r="K46" s="11"/>
      <c r="L46" s="11"/>
      <c r="M46" s="11"/>
      <c r="N46" s="11"/>
      <c r="O46" s="11"/>
      <c r="P46" s="11"/>
      <c r="Q46" s="11" t="s">
        <v>55</v>
      </c>
      <c r="R46" s="11" t="n">
        <f aca="false">COUNTA(H46:M46)</f>
        <v>1</v>
      </c>
      <c r="S46" s="11"/>
      <c r="T46" s="13" t="s">
        <v>293</v>
      </c>
    </row>
    <row r="47" customFormat="false" ht="15" hidden="false" customHeight="false" outlineLevel="0" collapsed="false">
      <c r="A47" s="11" t="n">
        <v>46</v>
      </c>
      <c r="B47" s="11" t="s">
        <v>294</v>
      </c>
      <c r="C47" s="11" t="s">
        <v>11</v>
      </c>
      <c r="D47" s="11" t="s">
        <v>259</v>
      </c>
      <c r="E47" s="11" t="s">
        <v>295</v>
      </c>
      <c r="F47" s="11" t="s">
        <v>51</v>
      </c>
      <c r="G47" s="11" t="s">
        <v>296</v>
      </c>
      <c r="H47" s="11"/>
      <c r="I47" s="11"/>
      <c r="J47" s="12" t="s">
        <v>297</v>
      </c>
      <c r="K47" s="11"/>
      <c r="L47" s="11" t="s">
        <v>298</v>
      </c>
      <c r="M47" s="11"/>
      <c r="N47" s="11"/>
      <c r="O47" s="12" t="s">
        <v>54</v>
      </c>
      <c r="P47" s="11"/>
      <c r="Q47" s="11" t="s">
        <v>55</v>
      </c>
      <c r="R47" s="11" t="n">
        <f aca="false">COUNTA(H47:M47)</f>
        <v>2</v>
      </c>
      <c r="S47" s="11"/>
      <c r="T47" s="13" t="s">
        <v>299</v>
      </c>
    </row>
    <row r="48" customFormat="false" ht="15" hidden="false" customHeight="false" outlineLevel="0" collapsed="false">
      <c r="A48" s="11" t="n">
        <v>47</v>
      </c>
      <c r="B48" s="11" t="s">
        <v>300</v>
      </c>
      <c r="C48" s="11" t="s">
        <v>11</v>
      </c>
      <c r="D48" s="11" t="s">
        <v>259</v>
      </c>
      <c r="E48" s="11" t="s">
        <v>301</v>
      </c>
      <c r="F48" s="11" t="s">
        <v>51</v>
      </c>
      <c r="G48" s="11" t="s">
        <v>302</v>
      </c>
      <c r="H48" s="11"/>
      <c r="I48" s="12" t="s">
        <v>303</v>
      </c>
      <c r="J48" s="12" t="s">
        <v>304</v>
      </c>
      <c r="K48" s="11"/>
      <c r="L48" s="11" t="s">
        <v>305</v>
      </c>
      <c r="M48" s="11"/>
      <c r="N48" s="11"/>
      <c r="O48" s="12" t="s">
        <v>54</v>
      </c>
      <c r="P48" s="11"/>
      <c r="Q48" s="11" t="s">
        <v>73</v>
      </c>
      <c r="R48" s="11" t="n">
        <f aca="false">COUNTA(H48:M48)</f>
        <v>3</v>
      </c>
      <c r="S48" s="11" t="s">
        <v>306</v>
      </c>
      <c r="T48" s="13" t="s">
        <v>307</v>
      </c>
    </row>
    <row r="49" customFormat="false" ht="15" hidden="false" customHeight="false" outlineLevel="0" collapsed="false">
      <c r="A49" s="11" t="n">
        <v>48</v>
      </c>
      <c r="B49" s="11" t="s">
        <v>308</v>
      </c>
      <c r="C49" s="11" t="s">
        <v>11</v>
      </c>
      <c r="D49" s="11" t="s">
        <v>259</v>
      </c>
      <c r="E49" s="11"/>
      <c r="F49" s="11" t="s">
        <v>51</v>
      </c>
      <c r="G49" s="11" t="s">
        <v>309</v>
      </c>
      <c r="H49" s="11"/>
      <c r="I49" s="11"/>
      <c r="J49" s="11"/>
      <c r="K49" s="11"/>
      <c r="L49" s="11"/>
      <c r="M49" s="11"/>
      <c r="N49" s="11"/>
      <c r="O49" s="12" t="s">
        <v>54</v>
      </c>
      <c r="P49" s="11"/>
      <c r="Q49" s="11" t="s">
        <v>55</v>
      </c>
      <c r="R49" s="11" t="n">
        <f aca="false">COUNTA(H49:M49)</f>
        <v>0</v>
      </c>
      <c r="S49" s="11" t="s">
        <v>310</v>
      </c>
      <c r="T49" s="13" t="s">
        <v>311</v>
      </c>
    </row>
    <row r="50" customFormat="false" ht="15" hidden="false" customHeight="false" outlineLevel="0" collapsed="false">
      <c r="A50" s="11" t="n">
        <v>49</v>
      </c>
      <c r="B50" s="11" t="s">
        <v>312</v>
      </c>
      <c r="C50" s="11" t="s">
        <v>11</v>
      </c>
      <c r="D50" s="11" t="s">
        <v>259</v>
      </c>
      <c r="E50" s="11" t="s">
        <v>313</v>
      </c>
      <c r="F50" s="11" t="s">
        <v>51</v>
      </c>
      <c r="G50" s="11" t="s">
        <v>314</v>
      </c>
      <c r="H50" s="12" t="s">
        <v>315</v>
      </c>
      <c r="I50" s="11"/>
      <c r="J50" s="11"/>
      <c r="K50" s="11"/>
      <c r="L50" s="11" t="s">
        <v>316</v>
      </c>
      <c r="M50" s="11"/>
      <c r="N50" s="11"/>
      <c r="O50" s="12" t="s">
        <v>54</v>
      </c>
      <c r="P50" s="11"/>
      <c r="Q50" s="11" t="s">
        <v>55</v>
      </c>
      <c r="R50" s="11" t="n">
        <f aca="false">COUNTA(H50:M50)</f>
        <v>2</v>
      </c>
      <c r="S50" s="11" t="s">
        <v>317</v>
      </c>
      <c r="T50" s="13" t="s">
        <v>318</v>
      </c>
    </row>
    <row r="51" customFormat="false" ht="15" hidden="false" customHeight="false" outlineLevel="0" collapsed="false">
      <c r="A51" s="11" t="n">
        <v>50</v>
      </c>
      <c r="B51" s="11" t="s">
        <v>319</v>
      </c>
      <c r="C51" s="11" t="s">
        <v>11</v>
      </c>
      <c r="D51" s="11" t="s">
        <v>259</v>
      </c>
      <c r="E51" s="11" t="s">
        <v>320</v>
      </c>
      <c r="F51" s="11" t="s">
        <v>321</v>
      </c>
      <c r="G51" s="11" t="s">
        <v>322</v>
      </c>
      <c r="H51" s="12" t="s">
        <v>323</v>
      </c>
      <c r="I51" s="11"/>
      <c r="J51" s="11"/>
      <c r="K51" s="11"/>
      <c r="L51" s="11" t="s">
        <v>324</v>
      </c>
      <c r="M51" s="11"/>
      <c r="N51" s="11"/>
      <c r="O51" s="12" t="s">
        <v>54</v>
      </c>
      <c r="P51" s="11"/>
      <c r="Q51" s="11" t="s">
        <v>55</v>
      </c>
      <c r="R51" s="11" t="n">
        <f aca="false">COUNTA(H51:M51)</f>
        <v>2</v>
      </c>
      <c r="S51" s="11" t="s">
        <v>325</v>
      </c>
      <c r="T51" s="13" t="s">
        <v>326</v>
      </c>
    </row>
    <row r="52" customFormat="false" ht="15" hidden="false" customHeight="false" outlineLevel="0" collapsed="false">
      <c r="A52" s="11" t="n">
        <v>51</v>
      </c>
      <c r="B52" s="11" t="s">
        <v>327</v>
      </c>
      <c r="C52" s="11" t="s">
        <v>11</v>
      </c>
      <c r="D52" s="11" t="s">
        <v>259</v>
      </c>
      <c r="E52" s="11"/>
      <c r="F52" s="11" t="s">
        <v>51</v>
      </c>
      <c r="G52" s="11" t="s">
        <v>328</v>
      </c>
      <c r="H52" s="11"/>
      <c r="I52" s="11"/>
      <c r="J52" s="12" t="s">
        <v>329</v>
      </c>
      <c r="K52" s="11"/>
      <c r="L52" s="11"/>
      <c r="M52" s="11"/>
      <c r="N52" s="11"/>
      <c r="O52" s="12" t="s">
        <v>54</v>
      </c>
      <c r="P52" s="11"/>
      <c r="Q52" s="11" t="s">
        <v>55</v>
      </c>
      <c r="R52" s="11" t="n">
        <f aca="false">COUNTA(H52:M52)</f>
        <v>1</v>
      </c>
      <c r="S52" s="11" t="s">
        <v>330</v>
      </c>
      <c r="T52" s="13" t="s">
        <v>331</v>
      </c>
    </row>
    <row r="53" customFormat="false" ht="15" hidden="false" customHeight="false" outlineLevel="0" collapsed="false">
      <c r="A53" s="11" t="n">
        <v>52</v>
      </c>
      <c r="B53" s="11" t="s">
        <v>332</v>
      </c>
      <c r="C53" s="11" t="s">
        <v>11</v>
      </c>
      <c r="D53" s="11" t="s">
        <v>259</v>
      </c>
      <c r="E53" s="11" t="s">
        <v>333</v>
      </c>
      <c r="F53" s="11" t="s">
        <v>122</v>
      </c>
      <c r="G53" s="11" t="s">
        <v>334</v>
      </c>
      <c r="H53" s="11"/>
      <c r="I53" s="12" t="s">
        <v>335</v>
      </c>
      <c r="J53" s="12" t="s">
        <v>336</v>
      </c>
      <c r="K53" s="11"/>
      <c r="L53" s="11" t="s">
        <v>337</v>
      </c>
      <c r="M53" s="11"/>
      <c r="N53" s="11"/>
      <c r="O53" s="12" t="s">
        <v>54</v>
      </c>
      <c r="P53" s="11"/>
      <c r="Q53" s="11" t="s">
        <v>73</v>
      </c>
      <c r="R53" s="11" t="n">
        <f aca="false">COUNTA(H53:M53)</f>
        <v>3</v>
      </c>
      <c r="S53" s="11" t="s">
        <v>338</v>
      </c>
      <c r="T53" s="13" t="s">
        <v>339</v>
      </c>
    </row>
    <row r="54" customFormat="false" ht="15" hidden="false" customHeight="false" outlineLevel="0" collapsed="false">
      <c r="A54" s="11" t="n">
        <v>53</v>
      </c>
      <c r="B54" s="11" t="s">
        <v>340</v>
      </c>
      <c r="C54" s="11" t="s">
        <v>11</v>
      </c>
      <c r="D54" s="11" t="s">
        <v>341</v>
      </c>
      <c r="E54" s="11" t="s">
        <v>342</v>
      </c>
      <c r="F54" s="11" t="s">
        <v>122</v>
      </c>
      <c r="G54" s="11" t="s">
        <v>343</v>
      </c>
      <c r="H54" s="12" t="s">
        <v>344</v>
      </c>
      <c r="I54" s="11"/>
      <c r="J54" s="11"/>
      <c r="K54" s="11"/>
      <c r="L54" s="11"/>
      <c r="M54" s="11"/>
      <c r="N54" s="11"/>
      <c r="O54" s="12" t="s">
        <v>54</v>
      </c>
      <c r="P54" s="11"/>
      <c r="Q54" s="11" t="s">
        <v>55</v>
      </c>
      <c r="R54" s="11" t="n">
        <f aca="false">COUNTA(H54:M54)</f>
        <v>1</v>
      </c>
      <c r="S54" s="11" t="s">
        <v>345</v>
      </c>
      <c r="T54" s="13" t="s">
        <v>346</v>
      </c>
    </row>
    <row r="55" customFormat="false" ht="15" hidden="false" customHeight="false" outlineLevel="0" collapsed="false">
      <c r="A55" s="11" t="n">
        <v>54</v>
      </c>
      <c r="B55" s="11" t="s">
        <v>347</v>
      </c>
      <c r="C55" s="11" t="s">
        <v>11</v>
      </c>
      <c r="D55" s="11" t="s">
        <v>341</v>
      </c>
      <c r="E55" s="11"/>
      <c r="F55" s="11" t="s">
        <v>290</v>
      </c>
      <c r="G55" s="11" t="s">
        <v>348</v>
      </c>
      <c r="H55" s="11"/>
      <c r="I55" s="11"/>
      <c r="J55" s="11"/>
      <c r="K55" s="11"/>
      <c r="L55" s="11"/>
      <c r="M55" s="11"/>
      <c r="N55" s="11"/>
      <c r="O55" s="11"/>
      <c r="P55" s="11"/>
      <c r="Q55" s="11" t="s">
        <v>55</v>
      </c>
      <c r="R55" s="11" t="n">
        <f aca="false">COUNTA(H55:M55)</f>
        <v>0</v>
      </c>
      <c r="S55" s="11" t="s">
        <v>349</v>
      </c>
      <c r="T55" s="13" t="s">
        <v>350</v>
      </c>
    </row>
    <row r="56" customFormat="false" ht="15" hidden="false" customHeight="false" outlineLevel="0" collapsed="false">
      <c r="A56" s="11" t="n">
        <v>55</v>
      </c>
      <c r="B56" s="11" t="s">
        <v>351</v>
      </c>
      <c r="C56" s="11" t="s">
        <v>11</v>
      </c>
      <c r="D56" s="11" t="s">
        <v>341</v>
      </c>
      <c r="E56" s="11" t="s">
        <v>352</v>
      </c>
      <c r="F56" s="11" t="s">
        <v>51</v>
      </c>
      <c r="G56" s="11" t="s">
        <v>353</v>
      </c>
      <c r="H56" s="11"/>
      <c r="I56" s="11"/>
      <c r="J56" s="11"/>
      <c r="K56" s="11"/>
      <c r="L56" s="11"/>
      <c r="M56" s="11"/>
      <c r="N56" s="11"/>
      <c r="O56" s="12" t="s">
        <v>54</v>
      </c>
      <c r="P56" s="11"/>
      <c r="Q56" s="11" t="s">
        <v>73</v>
      </c>
      <c r="R56" s="11" t="n">
        <f aca="false">COUNTA(H56:M56)</f>
        <v>0</v>
      </c>
      <c r="S56" s="11" t="s">
        <v>354</v>
      </c>
      <c r="T56" s="13" t="s">
        <v>355</v>
      </c>
    </row>
    <row r="57" customFormat="false" ht="15" hidden="false" customHeight="false" outlineLevel="0" collapsed="false">
      <c r="A57" s="11" t="n">
        <v>56</v>
      </c>
      <c r="B57" s="11" t="s">
        <v>356</v>
      </c>
      <c r="C57" s="11" t="s">
        <v>11</v>
      </c>
      <c r="D57" s="11" t="s">
        <v>341</v>
      </c>
      <c r="E57" s="11" t="s">
        <v>357</v>
      </c>
      <c r="F57" s="11" t="s">
        <v>51</v>
      </c>
      <c r="G57" s="11" t="s">
        <v>358</v>
      </c>
      <c r="H57" s="11"/>
      <c r="I57" s="11"/>
      <c r="J57" s="11"/>
      <c r="K57" s="11"/>
      <c r="L57" s="11" t="s">
        <v>359</v>
      </c>
      <c r="M57" s="11"/>
      <c r="N57" s="11"/>
      <c r="O57" s="12" t="s">
        <v>54</v>
      </c>
      <c r="P57" s="11"/>
      <c r="Q57" s="11" t="s">
        <v>55</v>
      </c>
      <c r="R57" s="11" t="n">
        <f aca="false">COUNTA(H57:M57)</f>
        <v>1</v>
      </c>
      <c r="S57" s="11" t="s">
        <v>360</v>
      </c>
      <c r="T57" s="13" t="s">
        <v>361</v>
      </c>
    </row>
    <row r="58" customFormat="false" ht="15" hidden="false" customHeight="false" outlineLevel="0" collapsed="false">
      <c r="A58" s="11" t="n">
        <v>57</v>
      </c>
      <c r="B58" s="11" t="s">
        <v>362</v>
      </c>
      <c r="C58" s="11" t="s">
        <v>11</v>
      </c>
      <c r="D58" s="11" t="s">
        <v>341</v>
      </c>
      <c r="E58" s="11" t="s">
        <v>363</v>
      </c>
      <c r="F58" s="11" t="s">
        <v>51</v>
      </c>
      <c r="G58" s="11" t="s">
        <v>364</v>
      </c>
      <c r="H58" s="11"/>
      <c r="I58" s="11"/>
      <c r="J58" s="11"/>
      <c r="K58" s="11"/>
      <c r="L58" s="11" t="s">
        <v>365</v>
      </c>
      <c r="M58" s="11"/>
      <c r="N58" s="11"/>
      <c r="O58" s="12" t="s">
        <v>54</v>
      </c>
      <c r="P58" s="11"/>
      <c r="Q58" s="11" t="s">
        <v>55</v>
      </c>
      <c r="R58" s="11" t="n">
        <f aca="false">COUNTA(H58:M58)</f>
        <v>1</v>
      </c>
      <c r="S58" s="11"/>
      <c r="T58" s="13" t="s">
        <v>366</v>
      </c>
    </row>
    <row r="59" customFormat="false" ht="15" hidden="false" customHeight="false" outlineLevel="0" collapsed="false">
      <c r="A59" s="11" t="n">
        <v>58</v>
      </c>
      <c r="B59" s="11" t="s">
        <v>367</v>
      </c>
      <c r="C59" s="11" t="s">
        <v>11</v>
      </c>
      <c r="D59" s="11" t="s">
        <v>341</v>
      </c>
      <c r="E59" s="11" t="s">
        <v>368</v>
      </c>
      <c r="F59" s="11" t="s">
        <v>51</v>
      </c>
      <c r="G59" s="11" t="s">
        <v>369</v>
      </c>
      <c r="H59" s="11"/>
      <c r="I59" s="11"/>
      <c r="J59" s="12" t="s">
        <v>370</v>
      </c>
      <c r="K59" s="11"/>
      <c r="L59" s="11"/>
      <c r="M59" s="11"/>
      <c r="N59" s="11"/>
      <c r="O59" s="12" t="s">
        <v>54</v>
      </c>
      <c r="P59" s="11"/>
      <c r="Q59" s="11" t="s">
        <v>55</v>
      </c>
      <c r="R59" s="11" t="n">
        <f aca="false">COUNTA(H59:M59)</f>
        <v>1</v>
      </c>
      <c r="S59" s="11"/>
      <c r="T59" s="13" t="s">
        <v>371</v>
      </c>
    </row>
    <row r="60" customFormat="false" ht="15" hidden="false" customHeight="false" outlineLevel="0" collapsed="false">
      <c r="A60" s="11" t="n">
        <v>59</v>
      </c>
      <c r="B60" s="11" t="s">
        <v>372</v>
      </c>
      <c r="C60" s="11" t="s">
        <v>11</v>
      </c>
      <c r="D60" s="11" t="s">
        <v>341</v>
      </c>
      <c r="E60" s="11"/>
      <c r="F60" s="11" t="s">
        <v>51</v>
      </c>
      <c r="G60" s="11" t="s">
        <v>373</v>
      </c>
      <c r="H60" s="11"/>
      <c r="I60" s="11"/>
      <c r="J60" s="11"/>
      <c r="K60" s="11"/>
      <c r="L60" s="11"/>
      <c r="M60" s="11"/>
      <c r="N60" s="11"/>
      <c r="O60" s="12" t="s">
        <v>54</v>
      </c>
      <c r="P60" s="11"/>
      <c r="Q60" s="11" t="s">
        <v>55</v>
      </c>
      <c r="R60" s="11" t="n">
        <f aca="false">COUNTA(H60:M60)</f>
        <v>0</v>
      </c>
      <c r="S60" s="11"/>
      <c r="T60" s="13" t="s">
        <v>374</v>
      </c>
    </row>
    <row r="61" customFormat="false" ht="15" hidden="false" customHeight="false" outlineLevel="0" collapsed="false">
      <c r="A61" s="11" t="n">
        <v>60</v>
      </c>
      <c r="B61" s="11" t="s">
        <v>375</v>
      </c>
      <c r="C61" s="11" t="s">
        <v>11</v>
      </c>
      <c r="D61" s="11" t="s">
        <v>341</v>
      </c>
      <c r="E61" s="11" t="s">
        <v>376</v>
      </c>
      <c r="F61" s="11" t="s">
        <v>122</v>
      </c>
      <c r="G61" s="11" t="s">
        <v>377</v>
      </c>
      <c r="H61" s="12" t="s">
        <v>378</v>
      </c>
      <c r="I61" s="11"/>
      <c r="J61" s="12" t="s">
        <v>379</v>
      </c>
      <c r="K61" s="11"/>
      <c r="L61" s="11" t="s">
        <v>380</v>
      </c>
      <c r="M61" s="11"/>
      <c r="N61" s="11"/>
      <c r="O61" s="12" t="s">
        <v>54</v>
      </c>
      <c r="P61" s="11"/>
      <c r="Q61" s="11" t="s">
        <v>55</v>
      </c>
      <c r="R61" s="11" t="n">
        <f aca="false">COUNTA(H61:M61)</f>
        <v>3</v>
      </c>
      <c r="S61" s="11" t="s">
        <v>381</v>
      </c>
      <c r="T61" s="13" t="s">
        <v>382</v>
      </c>
    </row>
    <row r="62" customFormat="false" ht="15" hidden="false" customHeight="false" outlineLevel="0" collapsed="false">
      <c r="A62" s="11" t="n">
        <v>61</v>
      </c>
      <c r="B62" s="11" t="s">
        <v>383</v>
      </c>
      <c r="C62" s="11" t="s">
        <v>11</v>
      </c>
      <c r="D62" s="11" t="s">
        <v>341</v>
      </c>
      <c r="E62" s="11" t="s">
        <v>384</v>
      </c>
      <c r="F62" s="11" t="s">
        <v>51</v>
      </c>
      <c r="G62" s="11" t="s">
        <v>385</v>
      </c>
      <c r="H62" s="11"/>
      <c r="I62" s="11"/>
      <c r="J62" s="11"/>
      <c r="K62" s="11"/>
      <c r="L62" s="11" t="s">
        <v>386</v>
      </c>
      <c r="M62" s="11"/>
      <c r="N62" s="11"/>
      <c r="O62" s="12" t="s">
        <v>54</v>
      </c>
      <c r="P62" s="11"/>
      <c r="Q62" s="11" t="s">
        <v>55</v>
      </c>
      <c r="R62" s="11" t="n">
        <f aca="false">COUNTA(H62:M62)</f>
        <v>1</v>
      </c>
      <c r="S62" s="11" t="s">
        <v>387</v>
      </c>
      <c r="T62" s="13" t="s">
        <v>366</v>
      </c>
    </row>
    <row r="63" customFormat="false" ht="15" hidden="false" customHeight="false" outlineLevel="0" collapsed="false">
      <c r="A63" s="11" t="n">
        <v>62</v>
      </c>
      <c r="B63" s="11" t="s">
        <v>388</v>
      </c>
      <c r="C63" s="11" t="s">
        <v>11</v>
      </c>
      <c r="D63" s="11" t="s">
        <v>341</v>
      </c>
      <c r="E63" s="11"/>
      <c r="F63" s="11" t="s">
        <v>389</v>
      </c>
      <c r="G63" s="11" t="s">
        <v>390</v>
      </c>
      <c r="H63" s="12" t="s">
        <v>391</v>
      </c>
      <c r="I63" s="12" t="s">
        <v>392</v>
      </c>
      <c r="J63" s="12" t="s">
        <v>393</v>
      </c>
      <c r="K63" s="11"/>
      <c r="L63" s="11"/>
      <c r="M63" s="11"/>
      <c r="N63" s="11"/>
      <c r="O63" s="11"/>
      <c r="P63" s="11"/>
      <c r="Q63" s="11" t="s">
        <v>55</v>
      </c>
      <c r="R63" s="11" t="n">
        <f aca="false">COUNTA(H63:M63)</f>
        <v>3</v>
      </c>
      <c r="S63" s="11"/>
      <c r="T63" s="13" t="s">
        <v>394</v>
      </c>
    </row>
    <row r="64" customFormat="false" ht="15" hidden="false" customHeight="false" outlineLevel="0" collapsed="false">
      <c r="A64" s="11" t="n">
        <v>63</v>
      </c>
      <c r="B64" s="11" t="s">
        <v>395</v>
      </c>
      <c r="C64" s="11" t="s">
        <v>11</v>
      </c>
      <c r="D64" s="11" t="s">
        <v>341</v>
      </c>
      <c r="E64" s="11"/>
      <c r="F64" s="11" t="s">
        <v>133</v>
      </c>
      <c r="G64" s="11" t="s">
        <v>66</v>
      </c>
      <c r="H64" s="11"/>
      <c r="I64" s="11"/>
      <c r="J64" s="11"/>
      <c r="K64" s="11"/>
      <c r="L64" s="11"/>
      <c r="M64" s="11"/>
      <c r="N64" s="11"/>
      <c r="O64" s="11"/>
      <c r="P64" s="11"/>
      <c r="Q64" s="11" t="s">
        <v>55</v>
      </c>
      <c r="R64" s="11" t="n">
        <f aca="false">COUNTA(H64:M64)</f>
        <v>0</v>
      </c>
      <c r="S64" s="11" t="s">
        <v>396</v>
      </c>
      <c r="T64" s="13" t="s">
        <v>355</v>
      </c>
    </row>
    <row r="65" customFormat="false" ht="15" hidden="false" customHeight="false" outlineLevel="0" collapsed="false">
      <c r="A65" s="11" t="n">
        <v>64</v>
      </c>
      <c r="B65" s="11" t="s">
        <v>397</v>
      </c>
      <c r="C65" s="11" t="s">
        <v>11</v>
      </c>
      <c r="D65" s="11" t="s">
        <v>341</v>
      </c>
      <c r="E65" s="11" t="s">
        <v>398</v>
      </c>
      <c r="F65" s="11" t="s">
        <v>156</v>
      </c>
      <c r="G65" s="11" t="s">
        <v>399</v>
      </c>
      <c r="H65" s="11"/>
      <c r="I65" s="11"/>
      <c r="J65" s="12" t="s">
        <v>400</v>
      </c>
      <c r="K65" s="11"/>
      <c r="L65" s="11" t="s">
        <v>401</v>
      </c>
      <c r="M65" s="11"/>
      <c r="N65" s="11"/>
      <c r="O65" s="12" t="s">
        <v>54</v>
      </c>
      <c r="P65" s="11"/>
      <c r="Q65" s="11" t="s">
        <v>55</v>
      </c>
      <c r="R65" s="11" t="n">
        <f aca="false">COUNTA(H65:M65)</f>
        <v>2</v>
      </c>
      <c r="S65" s="11" t="s">
        <v>402</v>
      </c>
      <c r="T65" s="13" t="s">
        <v>403</v>
      </c>
    </row>
    <row r="66" customFormat="false" ht="15" hidden="false" customHeight="false" outlineLevel="0" collapsed="false">
      <c r="A66" s="11" t="n">
        <v>65</v>
      </c>
      <c r="B66" s="11" t="s">
        <v>404</v>
      </c>
      <c r="C66" s="11" t="s">
        <v>11</v>
      </c>
      <c r="D66" s="11" t="s">
        <v>341</v>
      </c>
      <c r="E66" s="11" t="s">
        <v>405</v>
      </c>
      <c r="F66" s="11" t="s">
        <v>122</v>
      </c>
      <c r="G66" s="11" t="s">
        <v>406</v>
      </c>
      <c r="H66" s="12" t="s">
        <v>407</v>
      </c>
      <c r="I66" s="12" t="s">
        <v>408</v>
      </c>
      <c r="J66" s="12" t="s">
        <v>409</v>
      </c>
      <c r="K66" s="11"/>
      <c r="L66" s="11"/>
      <c r="M66" s="11"/>
      <c r="N66" s="11"/>
      <c r="O66" s="12" t="s">
        <v>54</v>
      </c>
      <c r="P66" s="11"/>
      <c r="Q66" s="11" t="s">
        <v>73</v>
      </c>
      <c r="R66" s="11" t="n">
        <f aca="false">COUNTA(H66:M66)</f>
        <v>3</v>
      </c>
      <c r="S66" s="11" t="s">
        <v>410</v>
      </c>
      <c r="T66" s="13" t="s">
        <v>411</v>
      </c>
    </row>
    <row r="67" customFormat="false" ht="15" hidden="false" customHeight="false" outlineLevel="0" collapsed="false">
      <c r="A67" s="11" t="n">
        <v>66</v>
      </c>
      <c r="B67" s="11" t="s">
        <v>412</v>
      </c>
      <c r="C67" s="11" t="s">
        <v>11</v>
      </c>
      <c r="D67" s="11" t="s">
        <v>341</v>
      </c>
      <c r="E67" s="11" t="s">
        <v>413</v>
      </c>
      <c r="F67" s="11" t="s">
        <v>122</v>
      </c>
      <c r="G67" s="11" t="s">
        <v>414</v>
      </c>
      <c r="H67" s="12" t="s">
        <v>415</v>
      </c>
      <c r="I67" s="12" t="s">
        <v>416</v>
      </c>
      <c r="J67" s="12" t="s">
        <v>417</v>
      </c>
      <c r="K67" s="11"/>
      <c r="L67" s="11" t="s">
        <v>418</v>
      </c>
      <c r="M67" s="11"/>
      <c r="N67" s="11"/>
      <c r="O67" s="12" t="s">
        <v>54</v>
      </c>
      <c r="P67" s="11"/>
      <c r="Q67" s="11" t="s">
        <v>73</v>
      </c>
      <c r="R67" s="11" t="n">
        <f aca="false">COUNTA(H67:M67)</f>
        <v>4</v>
      </c>
      <c r="S67" s="11" t="s">
        <v>419</v>
      </c>
      <c r="T67" s="13" t="s">
        <v>420</v>
      </c>
    </row>
    <row r="68" customFormat="false" ht="15" hidden="false" customHeight="false" outlineLevel="0" collapsed="false">
      <c r="A68" s="11" t="n">
        <v>67</v>
      </c>
      <c r="B68" s="11" t="s">
        <v>421</v>
      </c>
      <c r="C68" s="11" t="s">
        <v>11</v>
      </c>
      <c r="D68" s="11" t="s">
        <v>341</v>
      </c>
      <c r="E68" s="11" t="s">
        <v>422</v>
      </c>
      <c r="F68" s="11" t="s">
        <v>122</v>
      </c>
      <c r="G68" s="11" t="s">
        <v>423</v>
      </c>
      <c r="H68" s="12" t="s">
        <v>424</v>
      </c>
      <c r="I68" s="12" t="s">
        <v>425</v>
      </c>
      <c r="J68" s="12" t="s">
        <v>426</v>
      </c>
      <c r="K68" s="11"/>
      <c r="L68" s="11"/>
      <c r="M68" s="11"/>
      <c r="N68" s="11"/>
      <c r="O68" s="12" t="s">
        <v>54</v>
      </c>
      <c r="P68" s="11"/>
      <c r="Q68" s="11" t="s">
        <v>55</v>
      </c>
      <c r="R68" s="11" t="n">
        <f aca="false">COUNTA(H68:M68)</f>
        <v>3</v>
      </c>
      <c r="S68" s="11" t="s">
        <v>427</v>
      </c>
      <c r="T68" s="13" t="s">
        <v>428</v>
      </c>
    </row>
    <row r="69" customFormat="false" ht="15" hidden="false" customHeight="false" outlineLevel="0" collapsed="false">
      <c r="A69" s="11" t="n">
        <v>68</v>
      </c>
      <c r="B69" s="11" t="s">
        <v>429</v>
      </c>
      <c r="C69" s="11" t="s">
        <v>11</v>
      </c>
      <c r="D69" s="11" t="s">
        <v>341</v>
      </c>
      <c r="E69" s="11" t="s">
        <v>430</v>
      </c>
      <c r="F69" s="11" t="s">
        <v>51</v>
      </c>
      <c r="G69" s="11" t="s">
        <v>431</v>
      </c>
      <c r="H69" s="11"/>
      <c r="I69" s="11"/>
      <c r="J69" s="11"/>
      <c r="K69" s="11"/>
      <c r="L69" s="11" t="s">
        <v>432</v>
      </c>
      <c r="M69" s="11"/>
      <c r="N69" s="11"/>
      <c r="O69" s="12" t="s">
        <v>54</v>
      </c>
      <c r="P69" s="11"/>
      <c r="Q69" s="11" t="s">
        <v>55</v>
      </c>
      <c r="R69" s="11" t="n">
        <f aca="false">COUNTA(H69:M69)</f>
        <v>1</v>
      </c>
      <c r="S69" s="11" t="s">
        <v>433</v>
      </c>
      <c r="T69" s="13" t="s">
        <v>361</v>
      </c>
    </row>
    <row r="70" customFormat="false" ht="15" hidden="false" customHeight="false" outlineLevel="0" collapsed="false">
      <c r="A70" s="11" t="n">
        <v>69</v>
      </c>
      <c r="B70" s="11" t="s">
        <v>434</v>
      </c>
      <c r="C70" s="11" t="s">
        <v>11</v>
      </c>
      <c r="D70" s="11" t="s">
        <v>341</v>
      </c>
      <c r="E70" s="11" t="s">
        <v>435</v>
      </c>
      <c r="F70" s="11" t="s">
        <v>156</v>
      </c>
      <c r="G70" s="11" t="s">
        <v>436</v>
      </c>
      <c r="H70" s="12" t="s">
        <v>437</v>
      </c>
      <c r="I70" s="11"/>
      <c r="J70" s="12" t="s">
        <v>438</v>
      </c>
      <c r="K70" s="11"/>
      <c r="L70" s="11" t="s">
        <v>439</v>
      </c>
      <c r="M70" s="11"/>
      <c r="N70" s="11"/>
      <c r="O70" s="12" t="s">
        <v>54</v>
      </c>
      <c r="P70" s="11"/>
      <c r="Q70" s="11" t="s">
        <v>55</v>
      </c>
      <c r="R70" s="11" t="n">
        <f aca="false">COUNTA(H70:M70)</f>
        <v>3</v>
      </c>
      <c r="S70" s="11"/>
      <c r="T70" s="13" t="s">
        <v>440</v>
      </c>
    </row>
    <row r="71" customFormat="false" ht="15" hidden="false" customHeight="false" outlineLevel="0" collapsed="false">
      <c r="A71" s="11" t="n">
        <v>70</v>
      </c>
      <c r="B71" s="11" t="s">
        <v>441</v>
      </c>
      <c r="C71" s="11" t="s">
        <v>11</v>
      </c>
      <c r="D71" s="11" t="s">
        <v>341</v>
      </c>
      <c r="E71" s="11" t="s">
        <v>435</v>
      </c>
      <c r="F71" s="11" t="s">
        <v>122</v>
      </c>
      <c r="G71" s="11" t="s">
        <v>442</v>
      </c>
      <c r="H71" s="12" t="s">
        <v>443</v>
      </c>
      <c r="I71" s="11"/>
      <c r="J71" s="11"/>
      <c r="K71" s="11"/>
      <c r="L71" s="11" t="s">
        <v>444</v>
      </c>
      <c r="M71" s="11"/>
      <c r="N71" s="11"/>
      <c r="O71" s="12" t="s">
        <v>54</v>
      </c>
      <c r="P71" s="11"/>
      <c r="Q71" s="11" t="s">
        <v>55</v>
      </c>
      <c r="R71" s="11" t="n">
        <f aca="false">COUNTA(H71:M71)</f>
        <v>2</v>
      </c>
      <c r="S71" s="11" t="s">
        <v>445</v>
      </c>
      <c r="T71" s="13" t="s">
        <v>366</v>
      </c>
    </row>
    <row r="72" customFormat="false" ht="15" hidden="false" customHeight="false" outlineLevel="0" collapsed="false">
      <c r="A72" s="11" t="n">
        <v>71</v>
      </c>
      <c r="B72" s="11" t="s">
        <v>446</v>
      </c>
      <c r="C72" s="11" t="s">
        <v>11</v>
      </c>
      <c r="D72" s="11" t="s">
        <v>447</v>
      </c>
      <c r="E72" s="11"/>
      <c r="F72" s="11" t="s">
        <v>389</v>
      </c>
      <c r="G72" s="11" t="s">
        <v>448</v>
      </c>
      <c r="H72" s="12" t="s">
        <v>449</v>
      </c>
      <c r="I72" s="11"/>
      <c r="J72" s="11"/>
      <c r="K72" s="11"/>
      <c r="L72" s="11"/>
      <c r="M72" s="11"/>
      <c r="N72" s="11"/>
      <c r="O72" s="11"/>
      <c r="P72" s="11"/>
      <c r="Q72" s="11" t="s">
        <v>55</v>
      </c>
      <c r="R72" s="11" t="n">
        <f aca="false">COUNTA(H72:M72)</f>
        <v>1</v>
      </c>
      <c r="S72" s="11" t="s">
        <v>450</v>
      </c>
      <c r="T72" s="13" t="s">
        <v>449</v>
      </c>
    </row>
    <row r="73" customFormat="false" ht="15" hidden="false" customHeight="false" outlineLevel="0" collapsed="false">
      <c r="A73" s="11" t="n">
        <v>72</v>
      </c>
      <c r="B73" s="11" t="s">
        <v>451</v>
      </c>
      <c r="C73" s="11" t="s">
        <v>12</v>
      </c>
      <c r="D73" s="11"/>
      <c r="E73" s="11"/>
      <c r="F73" s="11" t="s">
        <v>452</v>
      </c>
      <c r="G73" s="11" t="s">
        <v>453</v>
      </c>
      <c r="H73" s="11"/>
      <c r="I73" s="11"/>
      <c r="J73" s="11"/>
      <c r="K73" s="11"/>
      <c r="L73" s="11"/>
      <c r="M73" s="11"/>
      <c r="N73" s="11" t="s">
        <v>454</v>
      </c>
      <c r="O73" s="11"/>
      <c r="P73" s="11"/>
      <c r="Q73" s="11" t="s">
        <v>55</v>
      </c>
      <c r="R73" s="11" t="n">
        <f aca="false">COUNTA(H73:M73)</f>
        <v>0</v>
      </c>
      <c r="S73" s="11" t="s">
        <v>455</v>
      </c>
      <c r="T73" s="13" t="s">
        <v>456</v>
      </c>
    </row>
    <row r="74" customFormat="false" ht="15" hidden="false" customHeight="false" outlineLevel="0" collapsed="false">
      <c r="A74" s="11" t="n">
        <v>73</v>
      </c>
      <c r="B74" s="11" t="s">
        <v>457</v>
      </c>
      <c r="C74" s="11" t="s">
        <v>12</v>
      </c>
      <c r="D74" s="11"/>
      <c r="E74" s="11"/>
      <c r="F74" s="11" t="s">
        <v>133</v>
      </c>
      <c r="G74" s="11" t="s">
        <v>458</v>
      </c>
      <c r="H74" s="11"/>
      <c r="I74" s="12" t="s">
        <v>459</v>
      </c>
      <c r="J74" s="11"/>
      <c r="K74" s="11"/>
      <c r="L74" s="11"/>
      <c r="M74" s="11"/>
      <c r="N74" s="11"/>
      <c r="O74" s="11"/>
      <c r="P74" s="11"/>
      <c r="Q74" s="11" t="s">
        <v>55</v>
      </c>
      <c r="R74" s="11" t="n">
        <f aca="false">COUNTA(H74:M74)</f>
        <v>1</v>
      </c>
      <c r="S74" s="11" t="s">
        <v>460</v>
      </c>
      <c r="T74" s="13" t="s">
        <v>461</v>
      </c>
    </row>
    <row r="75" customFormat="false" ht="15" hidden="false" customHeight="false" outlineLevel="0" collapsed="false">
      <c r="A75" s="11" t="n">
        <v>74</v>
      </c>
      <c r="B75" s="11" t="s">
        <v>462</v>
      </c>
      <c r="C75" s="11" t="s">
        <v>12</v>
      </c>
      <c r="D75" s="11"/>
      <c r="E75" s="11"/>
      <c r="F75" s="11" t="s">
        <v>452</v>
      </c>
      <c r="G75" s="11" t="s">
        <v>66</v>
      </c>
      <c r="H75" s="11"/>
      <c r="I75" s="11"/>
      <c r="J75" s="11"/>
      <c r="K75" s="11"/>
      <c r="L75" s="11"/>
      <c r="M75" s="11"/>
      <c r="N75" s="11" t="s">
        <v>463</v>
      </c>
      <c r="O75" s="11"/>
      <c r="P75" s="11"/>
      <c r="Q75" s="11" t="s">
        <v>55</v>
      </c>
      <c r="R75" s="11" t="n">
        <f aca="false">COUNTA(H75:M75)</f>
        <v>0</v>
      </c>
      <c r="S75" s="11" t="s">
        <v>464</v>
      </c>
      <c r="T75" s="13" t="s">
        <v>465</v>
      </c>
    </row>
    <row r="76" customFormat="false" ht="15" hidden="false" customHeight="false" outlineLevel="0" collapsed="false">
      <c r="A76" s="11" t="n">
        <v>75</v>
      </c>
      <c r="B76" s="11" t="s">
        <v>466</v>
      </c>
      <c r="C76" s="11" t="s">
        <v>12</v>
      </c>
      <c r="D76" s="11" t="s">
        <v>467</v>
      </c>
      <c r="E76" s="11"/>
      <c r="F76" s="11" t="s">
        <v>51</v>
      </c>
      <c r="G76" s="11" t="s">
        <v>66</v>
      </c>
      <c r="H76" s="11"/>
      <c r="I76" s="12" t="s">
        <v>468</v>
      </c>
      <c r="J76" s="11"/>
      <c r="K76" s="11"/>
      <c r="L76" s="11"/>
      <c r="M76" s="11"/>
      <c r="N76" s="11"/>
      <c r="O76" s="12" t="s">
        <v>54</v>
      </c>
      <c r="P76" s="11"/>
      <c r="Q76" s="11" t="s">
        <v>55</v>
      </c>
      <c r="R76" s="11" t="n">
        <f aca="false">COUNTA(H76:M76)</f>
        <v>1</v>
      </c>
      <c r="S76" s="11" t="s">
        <v>469</v>
      </c>
      <c r="T76" s="13" t="s">
        <v>470</v>
      </c>
    </row>
    <row r="77" customFormat="false" ht="15" hidden="false" customHeight="false" outlineLevel="0" collapsed="false">
      <c r="A77" s="11" t="n">
        <v>76</v>
      </c>
      <c r="B77" s="11" t="s">
        <v>471</v>
      </c>
      <c r="C77" s="11" t="s">
        <v>12</v>
      </c>
      <c r="D77" s="11" t="s">
        <v>472</v>
      </c>
      <c r="E77" s="11" t="s">
        <v>473</v>
      </c>
      <c r="F77" s="11" t="s">
        <v>51</v>
      </c>
      <c r="G77" s="11" t="s">
        <v>474</v>
      </c>
      <c r="H77" s="11"/>
      <c r="I77" s="12" t="s">
        <v>475</v>
      </c>
      <c r="J77" s="11"/>
      <c r="K77" s="11"/>
      <c r="L77" s="11"/>
      <c r="M77" s="11"/>
      <c r="N77" s="11"/>
      <c r="O77" s="12" t="s">
        <v>54</v>
      </c>
      <c r="P77" s="11"/>
      <c r="Q77" s="11" t="s">
        <v>55</v>
      </c>
      <c r="R77" s="11" t="n">
        <f aca="false">COUNTA(H77:M77)</f>
        <v>1</v>
      </c>
      <c r="S77" s="11" t="s">
        <v>476</v>
      </c>
      <c r="T77" s="13" t="s">
        <v>477</v>
      </c>
    </row>
    <row r="78" customFormat="false" ht="15" hidden="false" customHeight="false" outlineLevel="0" collapsed="false">
      <c r="A78" s="11" t="n">
        <v>77</v>
      </c>
      <c r="B78" s="11" t="s">
        <v>478</v>
      </c>
      <c r="C78" s="11" t="s">
        <v>12</v>
      </c>
      <c r="D78" s="11" t="s">
        <v>472</v>
      </c>
      <c r="E78" s="11"/>
      <c r="F78" s="11" t="s">
        <v>156</v>
      </c>
      <c r="G78" s="11" t="s">
        <v>479</v>
      </c>
      <c r="H78" s="11"/>
      <c r="I78" s="11"/>
      <c r="J78" s="11"/>
      <c r="K78" s="11"/>
      <c r="L78" s="11"/>
      <c r="M78" s="11"/>
      <c r="N78" s="11"/>
      <c r="O78" s="12" t="s">
        <v>54</v>
      </c>
      <c r="P78" s="11"/>
      <c r="Q78" s="11" t="s">
        <v>55</v>
      </c>
      <c r="R78" s="11" t="n">
        <f aca="false">COUNTA(H78:M78)</f>
        <v>0</v>
      </c>
      <c r="S78" s="11" t="s">
        <v>480</v>
      </c>
      <c r="T78" s="13" t="s">
        <v>481</v>
      </c>
    </row>
    <row r="79" customFormat="false" ht="15" hidden="false" customHeight="false" outlineLevel="0" collapsed="false">
      <c r="A79" s="11" t="n">
        <v>78</v>
      </c>
      <c r="B79" s="11" t="s">
        <v>482</v>
      </c>
      <c r="C79" s="11" t="s">
        <v>12</v>
      </c>
      <c r="D79" s="11" t="s">
        <v>483</v>
      </c>
      <c r="E79" s="11"/>
      <c r="F79" s="11" t="s">
        <v>133</v>
      </c>
      <c r="G79" s="11" t="s">
        <v>66</v>
      </c>
      <c r="H79" s="11"/>
      <c r="I79" s="11"/>
      <c r="J79" s="12" t="s">
        <v>484</v>
      </c>
      <c r="K79" s="11"/>
      <c r="L79" s="11"/>
      <c r="M79" s="11"/>
      <c r="N79" s="11"/>
      <c r="O79" s="11"/>
      <c r="P79" s="11"/>
      <c r="Q79" s="11" t="s">
        <v>55</v>
      </c>
      <c r="R79" s="11" t="n">
        <f aca="false">COUNTA(H79:M79)</f>
        <v>1</v>
      </c>
      <c r="S79" s="11" t="s">
        <v>485</v>
      </c>
      <c r="T79" s="13" t="s">
        <v>486</v>
      </c>
    </row>
    <row r="80" customFormat="false" ht="15" hidden="false" customHeight="false" outlineLevel="0" collapsed="false">
      <c r="A80" s="11" t="n">
        <v>79</v>
      </c>
      <c r="B80" s="11" t="s">
        <v>487</v>
      </c>
      <c r="C80" s="11" t="s">
        <v>12</v>
      </c>
      <c r="D80" s="11" t="s">
        <v>488</v>
      </c>
      <c r="E80" s="11"/>
      <c r="F80" s="11" t="s">
        <v>51</v>
      </c>
      <c r="G80" s="11" t="s">
        <v>489</v>
      </c>
      <c r="H80" s="11"/>
      <c r="I80" s="11"/>
      <c r="J80" s="11"/>
      <c r="K80" s="11"/>
      <c r="L80" s="11"/>
      <c r="M80" s="11"/>
      <c r="N80" s="11"/>
      <c r="O80" s="12" t="s">
        <v>54</v>
      </c>
      <c r="P80" s="11"/>
      <c r="Q80" s="11" t="s">
        <v>55</v>
      </c>
      <c r="R80" s="11" t="n">
        <f aca="false">COUNTA(H80:M80)</f>
        <v>0</v>
      </c>
      <c r="S80" s="11" t="s">
        <v>490</v>
      </c>
      <c r="T80" s="13" t="s">
        <v>486</v>
      </c>
    </row>
    <row r="81" customFormat="false" ht="15" hidden="false" customHeight="false" outlineLevel="0" collapsed="false">
      <c r="A81" s="11" t="n">
        <v>80</v>
      </c>
      <c r="B81" s="11" t="s">
        <v>491</v>
      </c>
      <c r="C81" s="11" t="s">
        <v>12</v>
      </c>
      <c r="D81" s="11" t="s">
        <v>492</v>
      </c>
      <c r="E81" s="11" t="s">
        <v>493</v>
      </c>
      <c r="F81" s="11" t="s">
        <v>51</v>
      </c>
      <c r="G81" s="11" t="s">
        <v>494</v>
      </c>
      <c r="H81" s="11"/>
      <c r="I81" s="11"/>
      <c r="J81" s="12" t="s">
        <v>495</v>
      </c>
      <c r="K81" s="11"/>
      <c r="L81" s="11" t="s">
        <v>496</v>
      </c>
      <c r="M81" s="11"/>
      <c r="N81" s="11"/>
      <c r="O81" s="12" t="s">
        <v>54</v>
      </c>
      <c r="P81" s="11"/>
      <c r="Q81" s="11" t="s">
        <v>55</v>
      </c>
      <c r="R81" s="11" t="n">
        <f aca="false">COUNTA(H81:M81)</f>
        <v>2</v>
      </c>
      <c r="S81" s="11" t="s">
        <v>497</v>
      </c>
      <c r="T81" s="13" t="s">
        <v>498</v>
      </c>
    </row>
    <row r="82" customFormat="false" ht="15" hidden="false" customHeight="false" outlineLevel="0" collapsed="false">
      <c r="A82" s="11" t="n">
        <v>81</v>
      </c>
      <c r="B82" s="11" t="s">
        <v>499</v>
      </c>
      <c r="C82" s="11" t="s">
        <v>12</v>
      </c>
      <c r="D82" s="11" t="s">
        <v>492</v>
      </c>
      <c r="E82" s="11"/>
      <c r="F82" s="11" t="s">
        <v>290</v>
      </c>
      <c r="G82" s="11" t="s">
        <v>500</v>
      </c>
      <c r="H82" s="11"/>
      <c r="I82" s="11"/>
      <c r="J82" s="12" t="s">
        <v>501</v>
      </c>
      <c r="K82" s="11"/>
      <c r="L82" s="11"/>
      <c r="M82" s="11"/>
      <c r="N82" s="11"/>
      <c r="O82" s="11"/>
      <c r="P82" s="11"/>
      <c r="Q82" s="11" t="s">
        <v>55</v>
      </c>
      <c r="R82" s="11" t="n">
        <f aca="false">COUNTA(H82:M82)</f>
        <v>1</v>
      </c>
      <c r="S82" s="11" t="s">
        <v>502</v>
      </c>
      <c r="T82" s="13" t="s">
        <v>503</v>
      </c>
    </row>
    <row r="83" customFormat="false" ht="15" hidden="false" customHeight="false" outlineLevel="0" collapsed="false">
      <c r="A83" s="11" t="n">
        <v>82</v>
      </c>
      <c r="B83" s="11" t="s">
        <v>504</v>
      </c>
      <c r="C83" s="11" t="s">
        <v>12</v>
      </c>
      <c r="D83" s="11" t="s">
        <v>492</v>
      </c>
      <c r="E83" s="11" t="s">
        <v>505</v>
      </c>
      <c r="F83" s="11" t="s">
        <v>156</v>
      </c>
      <c r="G83" s="11" t="s">
        <v>506</v>
      </c>
      <c r="H83" s="11"/>
      <c r="I83" s="12" t="s">
        <v>507</v>
      </c>
      <c r="J83" s="12" t="s">
        <v>508</v>
      </c>
      <c r="K83" s="11"/>
      <c r="L83" s="11" t="s">
        <v>509</v>
      </c>
      <c r="M83" s="11"/>
      <c r="N83" s="11"/>
      <c r="O83" s="12" t="s">
        <v>54</v>
      </c>
      <c r="P83" s="11"/>
      <c r="Q83" s="11" t="s">
        <v>55</v>
      </c>
      <c r="R83" s="11" t="n">
        <f aca="false">COUNTA(H83:M83)</f>
        <v>3</v>
      </c>
      <c r="S83" s="11" t="s">
        <v>510</v>
      </c>
      <c r="T83" s="13" t="s">
        <v>511</v>
      </c>
    </row>
    <row r="84" customFormat="false" ht="15" hidden="false" customHeight="false" outlineLevel="0" collapsed="false">
      <c r="A84" s="11" t="n">
        <v>83</v>
      </c>
      <c r="B84" s="11" t="s">
        <v>512</v>
      </c>
      <c r="C84" s="11" t="s">
        <v>12</v>
      </c>
      <c r="D84" s="11" t="s">
        <v>492</v>
      </c>
      <c r="E84" s="11" t="s">
        <v>513</v>
      </c>
      <c r="F84" s="11" t="s">
        <v>156</v>
      </c>
      <c r="G84" s="11" t="s">
        <v>514</v>
      </c>
      <c r="H84" s="11"/>
      <c r="I84" s="11"/>
      <c r="J84" s="11"/>
      <c r="K84" s="11"/>
      <c r="L84" s="11"/>
      <c r="M84" s="11"/>
      <c r="N84" s="11"/>
      <c r="O84" s="12" t="s">
        <v>54</v>
      </c>
      <c r="P84" s="11"/>
      <c r="Q84" s="11" t="s">
        <v>55</v>
      </c>
      <c r="R84" s="11" t="n">
        <f aca="false">COUNTA(H84:M84)</f>
        <v>0</v>
      </c>
      <c r="S84" s="11" t="s">
        <v>515</v>
      </c>
      <c r="T84" s="13" t="s">
        <v>516</v>
      </c>
    </row>
    <row r="85" customFormat="false" ht="15" hidden="false" customHeight="false" outlineLevel="0" collapsed="false">
      <c r="A85" s="11" t="n">
        <v>84</v>
      </c>
      <c r="B85" s="11" t="s">
        <v>517</v>
      </c>
      <c r="C85" s="11" t="s">
        <v>12</v>
      </c>
      <c r="D85" s="11" t="s">
        <v>492</v>
      </c>
      <c r="E85" s="11" t="s">
        <v>518</v>
      </c>
      <c r="F85" s="11" t="s">
        <v>156</v>
      </c>
      <c r="G85" s="11" t="s">
        <v>519</v>
      </c>
      <c r="H85" s="11"/>
      <c r="I85" s="11"/>
      <c r="J85" s="11"/>
      <c r="K85" s="11"/>
      <c r="L85" s="11"/>
      <c r="M85" s="11"/>
      <c r="N85" s="11"/>
      <c r="O85" s="12" t="s">
        <v>54</v>
      </c>
      <c r="P85" s="11"/>
      <c r="Q85" s="11" t="s">
        <v>55</v>
      </c>
      <c r="R85" s="11" t="n">
        <f aca="false">COUNTA(H85:M85)</f>
        <v>0</v>
      </c>
      <c r="S85" s="11" t="s">
        <v>520</v>
      </c>
      <c r="T85" s="13" t="s">
        <v>521</v>
      </c>
    </row>
    <row r="86" customFormat="false" ht="15" hidden="false" customHeight="false" outlineLevel="0" collapsed="false">
      <c r="A86" s="11" t="n">
        <v>85</v>
      </c>
      <c r="B86" s="11" t="s">
        <v>522</v>
      </c>
      <c r="C86" s="11" t="s">
        <v>12</v>
      </c>
      <c r="D86" s="11" t="s">
        <v>523</v>
      </c>
      <c r="E86" s="11"/>
      <c r="F86" s="11" t="s">
        <v>133</v>
      </c>
      <c r="G86" s="11" t="s">
        <v>524</v>
      </c>
      <c r="H86" s="11"/>
      <c r="I86" s="11"/>
      <c r="J86" s="12" t="s">
        <v>525</v>
      </c>
      <c r="K86" s="11"/>
      <c r="L86" s="11"/>
      <c r="M86" s="11"/>
      <c r="N86" s="11"/>
      <c r="O86" s="11"/>
      <c r="P86" s="11"/>
      <c r="Q86" s="11" t="s">
        <v>55</v>
      </c>
      <c r="R86" s="11" t="n">
        <f aca="false">COUNTA(H86:M86)</f>
        <v>1</v>
      </c>
      <c r="S86" s="11" t="s">
        <v>526</v>
      </c>
      <c r="T86" s="13" t="s">
        <v>527</v>
      </c>
    </row>
    <row r="87" customFormat="false" ht="15" hidden="false" customHeight="false" outlineLevel="0" collapsed="false">
      <c r="A87" s="11" t="n">
        <v>86</v>
      </c>
      <c r="B87" s="11" t="s">
        <v>528</v>
      </c>
      <c r="C87" s="11" t="s">
        <v>12</v>
      </c>
      <c r="D87" s="11" t="s">
        <v>523</v>
      </c>
      <c r="E87" s="11" t="s">
        <v>529</v>
      </c>
      <c r="F87" s="11" t="s">
        <v>51</v>
      </c>
      <c r="G87" s="11" t="s">
        <v>530</v>
      </c>
      <c r="H87" s="11"/>
      <c r="I87" s="11"/>
      <c r="J87" s="12" t="s">
        <v>531</v>
      </c>
      <c r="K87" s="11"/>
      <c r="L87" s="11" t="s">
        <v>532</v>
      </c>
      <c r="M87" s="11"/>
      <c r="N87" s="11"/>
      <c r="O87" s="12" t="s">
        <v>54</v>
      </c>
      <c r="P87" s="11"/>
      <c r="Q87" s="11" t="s">
        <v>73</v>
      </c>
      <c r="R87" s="11" t="n">
        <f aca="false">COUNTA(H87:M87)</f>
        <v>2</v>
      </c>
      <c r="S87" s="11" t="s">
        <v>533</v>
      </c>
      <c r="T87" s="13" t="s">
        <v>534</v>
      </c>
    </row>
    <row r="88" customFormat="false" ht="15" hidden="false" customHeight="false" outlineLevel="0" collapsed="false">
      <c r="A88" s="11" t="n">
        <v>87</v>
      </c>
      <c r="B88" s="11" t="s">
        <v>535</v>
      </c>
      <c r="C88" s="11" t="s">
        <v>12</v>
      </c>
      <c r="D88" s="11" t="s">
        <v>536</v>
      </c>
      <c r="E88" s="11" t="s">
        <v>537</v>
      </c>
      <c r="F88" s="11" t="s">
        <v>389</v>
      </c>
      <c r="G88" s="11" t="s">
        <v>538</v>
      </c>
      <c r="H88" s="12" t="s">
        <v>539</v>
      </c>
      <c r="I88" s="12" t="s">
        <v>540</v>
      </c>
      <c r="J88" s="12" t="s">
        <v>541</v>
      </c>
      <c r="K88" s="11"/>
      <c r="L88" s="11"/>
      <c r="M88" s="11" t="s">
        <v>542</v>
      </c>
      <c r="N88" s="11"/>
      <c r="O88" s="11"/>
      <c r="P88" s="11"/>
      <c r="Q88" s="11" t="s">
        <v>73</v>
      </c>
      <c r="R88" s="11" t="n">
        <f aca="false">COUNTA(H88:M88)</f>
        <v>4</v>
      </c>
      <c r="S88" s="11" t="s">
        <v>543</v>
      </c>
      <c r="T88" s="13" t="s">
        <v>544</v>
      </c>
    </row>
    <row r="89" customFormat="false" ht="15" hidden="false" customHeight="false" outlineLevel="0" collapsed="false">
      <c r="A89" s="11" t="n">
        <v>88</v>
      </c>
      <c r="B89" s="11" t="s">
        <v>545</v>
      </c>
      <c r="C89" s="11" t="s">
        <v>12</v>
      </c>
      <c r="D89" s="11" t="s">
        <v>546</v>
      </c>
      <c r="E89" s="11"/>
      <c r="F89" s="11" t="s">
        <v>51</v>
      </c>
      <c r="G89" s="11" t="s">
        <v>547</v>
      </c>
      <c r="H89" s="11"/>
      <c r="I89" s="11"/>
      <c r="J89" s="12" t="s">
        <v>548</v>
      </c>
      <c r="K89" s="11"/>
      <c r="L89" s="11"/>
      <c r="M89" s="11"/>
      <c r="N89" s="11"/>
      <c r="O89" s="12" t="s">
        <v>54</v>
      </c>
      <c r="P89" s="11"/>
      <c r="Q89" s="11" t="s">
        <v>55</v>
      </c>
      <c r="R89" s="11" t="n">
        <f aca="false">COUNTA(H89:M89)</f>
        <v>1</v>
      </c>
      <c r="S89" s="11" t="s">
        <v>549</v>
      </c>
      <c r="T89" s="13" t="s">
        <v>550</v>
      </c>
    </row>
    <row r="90" customFormat="false" ht="15" hidden="false" customHeight="false" outlineLevel="0" collapsed="false">
      <c r="A90" s="11" t="n">
        <v>89</v>
      </c>
      <c r="B90" s="11" t="s">
        <v>551</v>
      </c>
      <c r="C90" s="11" t="s">
        <v>12</v>
      </c>
      <c r="D90" s="11" t="s">
        <v>552</v>
      </c>
      <c r="E90" s="11" t="s">
        <v>553</v>
      </c>
      <c r="F90" s="11" t="s">
        <v>51</v>
      </c>
      <c r="G90" s="11" t="s">
        <v>554</v>
      </c>
      <c r="H90" s="11"/>
      <c r="I90" s="11"/>
      <c r="J90" s="11"/>
      <c r="K90" s="11"/>
      <c r="L90" s="11"/>
      <c r="M90" s="11"/>
      <c r="N90" s="11"/>
      <c r="O90" s="12" t="s">
        <v>54</v>
      </c>
      <c r="P90" s="11"/>
      <c r="Q90" s="11" t="s">
        <v>55</v>
      </c>
      <c r="R90" s="11" t="n">
        <f aca="false">COUNTA(H90:M90)</f>
        <v>0</v>
      </c>
      <c r="S90" s="11" t="s">
        <v>555</v>
      </c>
      <c r="T90" s="13" t="s">
        <v>556</v>
      </c>
    </row>
    <row r="91" customFormat="false" ht="15" hidden="false" customHeight="false" outlineLevel="0" collapsed="false">
      <c r="A91" s="11" t="n">
        <v>90</v>
      </c>
      <c r="B91" s="11" t="s">
        <v>557</v>
      </c>
      <c r="C91" s="11" t="s">
        <v>12</v>
      </c>
      <c r="D91" s="11" t="s">
        <v>552</v>
      </c>
      <c r="E91" s="11" t="s">
        <v>558</v>
      </c>
      <c r="F91" s="11" t="s">
        <v>156</v>
      </c>
      <c r="G91" s="11" t="s">
        <v>559</v>
      </c>
      <c r="H91" s="11"/>
      <c r="I91" s="11"/>
      <c r="J91" s="11"/>
      <c r="K91" s="11"/>
      <c r="L91" s="11"/>
      <c r="M91" s="11"/>
      <c r="N91" s="11"/>
      <c r="O91" s="12" t="s">
        <v>54</v>
      </c>
      <c r="P91" s="11"/>
      <c r="Q91" s="11" t="s">
        <v>55</v>
      </c>
      <c r="R91" s="11" t="n">
        <f aca="false">COUNTA(H91:M91)</f>
        <v>0</v>
      </c>
      <c r="S91" s="11" t="s">
        <v>560</v>
      </c>
      <c r="T91" s="13" t="s">
        <v>561</v>
      </c>
    </row>
    <row r="92" customFormat="false" ht="15" hidden="false" customHeight="false" outlineLevel="0" collapsed="false">
      <c r="A92" s="11" t="n">
        <v>91</v>
      </c>
      <c r="B92" s="11" t="s">
        <v>562</v>
      </c>
      <c r="C92" s="11" t="s">
        <v>12</v>
      </c>
      <c r="D92" s="11" t="s">
        <v>552</v>
      </c>
      <c r="E92" s="11" t="s">
        <v>563</v>
      </c>
      <c r="F92" s="11" t="s">
        <v>51</v>
      </c>
      <c r="G92" s="11" t="s">
        <v>564</v>
      </c>
      <c r="H92" s="11"/>
      <c r="I92" s="11"/>
      <c r="J92" s="11"/>
      <c r="K92" s="11"/>
      <c r="L92" s="11"/>
      <c r="M92" s="11"/>
      <c r="N92" s="11"/>
      <c r="O92" s="12" t="s">
        <v>54</v>
      </c>
      <c r="P92" s="11"/>
      <c r="Q92" s="11" t="s">
        <v>55</v>
      </c>
      <c r="R92" s="11" t="n">
        <f aca="false">COUNTA(H92:M92)</f>
        <v>0</v>
      </c>
      <c r="S92" s="11" t="s">
        <v>565</v>
      </c>
      <c r="T92" s="13" t="s">
        <v>566</v>
      </c>
    </row>
    <row r="93" customFormat="false" ht="15" hidden="false" customHeight="false" outlineLevel="0" collapsed="false">
      <c r="A93" s="11" t="n">
        <v>92</v>
      </c>
      <c r="B93" s="11" t="s">
        <v>567</v>
      </c>
      <c r="C93" s="11" t="s">
        <v>12</v>
      </c>
      <c r="D93" s="11" t="s">
        <v>552</v>
      </c>
      <c r="E93" s="11" t="s">
        <v>568</v>
      </c>
      <c r="F93" s="11" t="s">
        <v>122</v>
      </c>
      <c r="G93" s="11" t="s">
        <v>569</v>
      </c>
      <c r="H93" s="11"/>
      <c r="I93" s="12" t="s">
        <v>570</v>
      </c>
      <c r="J93" s="12" t="s">
        <v>571</v>
      </c>
      <c r="K93" s="11"/>
      <c r="L93" s="11" t="s">
        <v>572</v>
      </c>
      <c r="M93" s="11"/>
      <c r="N93" s="11"/>
      <c r="O93" s="12" t="s">
        <v>54</v>
      </c>
      <c r="P93" s="11"/>
      <c r="Q93" s="11" t="s">
        <v>73</v>
      </c>
      <c r="R93" s="11" t="n">
        <f aca="false">COUNTA(H93:M93)</f>
        <v>3</v>
      </c>
      <c r="S93" s="11" t="s">
        <v>573</v>
      </c>
      <c r="T93" s="13" t="s">
        <v>574</v>
      </c>
    </row>
    <row r="94" customFormat="false" ht="15" hidden="false" customHeight="false" outlineLevel="0" collapsed="false">
      <c r="A94" s="11" t="n">
        <v>93</v>
      </c>
      <c r="B94" s="11" t="s">
        <v>575</v>
      </c>
      <c r="C94" s="11" t="s">
        <v>12</v>
      </c>
      <c r="D94" s="11" t="s">
        <v>552</v>
      </c>
      <c r="E94" s="11" t="s">
        <v>576</v>
      </c>
      <c r="F94" s="11" t="s">
        <v>122</v>
      </c>
      <c r="G94" s="11" t="s">
        <v>577</v>
      </c>
      <c r="H94" s="11"/>
      <c r="I94" s="11"/>
      <c r="J94" s="11"/>
      <c r="K94" s="11"/>
      <c r="L94" s="11"/>
      <c r="M94" s="11"/>
      <c r="N94" s="11"/>
      <c r="O94" s="12" t="s">
        <v>54</v>
      </c>
      <c r="P94" s="11"/>
      <c r="Q94" s="11" t="s">
        <v>55</v>
      </c>
      <c r="R94" s="11" t="n">
        <f aca="false">COUNTA(H94:M94)</f>
        <v>0</v>
      </c>
      <c r="S94" s="11" t="s">
        <v>578</v>
      </c>
      <c r="T94" s="13" t="s">
        <v>579</v>
      </c>
    </row>
    <row r="95" customFormat="false" ht="15" hidden="false" customHeight="false" outlineLevel="0" collapsed="false">
      <c r="A95" s="11" t="n">
        <v>94</v>
      </c>
      <c r="B95" s="11" t="s">
        <v>580</v>
      </c>
      <c r="C95" s="11" t="s">
        <v>12</v>
      </c>
      <c r="D95" s="11" t="s">
        <v>552</v>
      </c>
      <c r="E95" s="11" t="s">
        <v>581</v>
      </c>
      <c r="F95" s="11" t="s">
        <v>51</v>
      </c>
      <c r="G95" s="11" t="s">
        <v>582</v>
      </c>
      <c r="H95" s="11"/>
      <c r="I95" s="11"/>
      <c r="J95" s="11"/>
      <c r="K95" s="11"/>
      <c r="L95" s="11"/>
      <c r="M95" s="11"/>
      <c r="N95" s="11"/>
      <c r="O95" s="12" t="s">
        <v>54</v>
      </c>
      <c r="P95" s="11"/>
      <c r="Q95" s="11" t="s">
        <v>55</v>
      </c>
      <c r="R95" s="11" t="n">
        <f aca="false">COUNTA(H95:M95)</f>
        <v>0</v>
      </c>
      <c r="S95" s="11" t="s">
        <v>583</v>
      </c>
      <c r="T95" s="13" t="s">
        <v>584</v>
      </c>
    </row>
    <row r="96" customFormat="false" ht="15" hidden="false" customHeight="false" outlineLevel="0" collapsed="false">
      <c r="A96" s="11" t="n">
        <v>95</v>
      </c>
      <c r="B96" s="11" t="s">
        <v>585</v>
      </c>
      <c r="C96" s="11" t="s">
        <v>12</v>
      </c>
      <c r="D96" s="11" t="s">
        <v>552</v>
      </c>
      <c r="E96" s="11" t="s">
        <v>586</v>
      </c>
      <c r="F96" s="11" t="s">
        <v>51</v>
      </c>
      <c r="G96" s="11" t="s">
        <v>587</v>
      </c>
      <c r="H96" s="11"/>
      <c r="I96" s="11"/>
      <c r="J96" s="11"/>
      <c r="K96" s="11"/>
      <c r="L96" s="11"/>
      <c r="M96" s="11"/>
      <c r="N96" s="11"/>
      <c r="O96" s="12" t="s">
        <v>54</v>
      </c>
      <c r="P96" s="11"/>
      <c r="Q96" s="11" t="s">
        <v>55</v>
      </c>
      <c r="R96" s="11" t="n">
        <f aca="false">COUNTA(H96:M96)</f>
        <v>0</v>
      </c>
      <c r="S96" s="11" t="s">
        <v>588</v>
      </c>
      <c r="T96" s="13" t="s">
        <v>589</v>
      </c>
    </row>
    <row r="97" customFormat="false" ht="15" hidden="false" customHeight="false" outlineLevel="0" collapsed="false">
      <c r="A97" s="11" t="n">
        <v>96</v>
      </c>
      <c r="B97" s="11" t="s">
        <v>590</v>
      </c>
      <c r="C97" s="11" t="s">
        <v>12</v>
      </c>
      <c r="D97" s="11" t="s">
        <v>591</v>
      </c>
      <c r="E97" s="11" t="s">
        <v>592</v>
      </c>
      <c r="F97" s="11" t="s">
        <v>51</v>
      </c>
      <c r="G97" s="11" t="s">
        <v>593</v>
      </c>
      <c r="H97" s="11"/>
      <c r="I97" s="11"/>
      <c r="J97" s="11"/>
      <c r="K97" s="11"/>
      <c r="L97" s="11"/>
      <c r="M97" s="11"/>
      <c r="N97" s="11"/>
      <c r="O97" s="12" t="s">
        <v>54</v>
      </c>
      <c r="P97" s="11"/>
      <c r="Q97" s="11" t="s">
        <v>55</v>
      </c>
      <c r="R97" s="11" t="n">
        <f aca="false">COUNTA(H97:M97)</f>
        <v>0</v>
      </c>
      <c r="S97" s="11" t="s">
        <v>594</v>
      </c>
      <c r="T97" s="13" t="s">
        <v>595</v>
      </c>
    </row>
    <row r="98" customFormat="false" ht="15" hidden="false" customHeight="false" outlineLevel="0" collapsed="false">
      <c r="A98" s="11" t="n">
        <v>97</v>
      </c>
      <c r="B98" s="11" t="s">
        <v>596</v>
      </c>
      <c r="C98" s="11" t="s">
        <v>12</v>
      </c>
      <c r="D98" s="11" t="s">
        <v>591</v>
      </c>
      <c r="E98" s="11" t="s">
        <v>597</v>
      </c>
      <c r="F98" s="11" t="s">
        <v>321</v>
      </c>
      <c r="G98" s="11" t="s">
        <v>598</v>
      </c>
      <c r="H98" s="11"/>
      <c r="I98" s="11"/>
      <c r="J98" s="11"/>
      <c r="K98" s="11"/>
      <c r="L98" s="11"/>
      <c r="M98" s="11"/>
      <c r="N98" s="11"/>
      <c r="O98" s="12" t="s">
        <v>54</v>
      </c>
      <c r="P98" s="11"/>
      <c r="Q98" s="11" t="s">
        <v>55</v>
      </c>
      <c r="R98" s="11" t="n">
        <f aca="false">COUNTA(H98:M98)</f>
        <v>0</v>
      </c>
      <c r="S98" s="11" t="s">
        <v>599</v>
      </c>
      <c r="T98" s="13" t="s">
        <v>600</v>
      </c>
    </row>
    <row r="99" customFormat="false" ht="15" hidden="false" customHeight="false" outlineLevel="0" collapsed="false">
      <c r="A99" s="11" t="n">
        <v>98</v>
      </c>
      <c r="B99" s="11" t="s">
        <v>601</v>
      </c>
      <c r="C99" s="11" t="s">
        <v>12</v>
      </c>
      <c r="D99" s="11" t="s">
        <v>591</v>
      </c>
      <c r="E99" s="11" t="s">
        <v>602</v>
      </c>
      <c r="F99" s="11" t="s">
        <v>51</v>
      </c>
      <c r="G99" s="11" t="s">
        <v>603</v>
      </c>
      <c r="H99" s="11"/>
      <c r="I99" s="11"/>
      <c r="J99" s="11"/>
      <c r="K99" s="11"/>
      <c r="L99" s="11"/>
      <c r="M99" s="11"/>
      <c r="N99" s="11"/>
      <c r="O99" s="12" t="s">
        <v>54</v>
      </c>
      <c r="P99" s="11"/>
      <c r="Q99" s="11" t="s">
        <v>55</v>
      </c>
      <c r="R99" s="11" t="n">
        <f aca="false">COUNTA(H99:M99)</f>
        <v>0</v>
      </c>
      <c r="S99" s="11" t="s">
        <v>604</v>
      </c>
      <c r="T99" s="13" t="s">
        <v>605</v>
      </c>
    </row>
    <row r="100" customFormat="false" ht="15" hidden="false" customHeight="false" outlineLevel="0" collapsed="false">
      <c r="A100" s="11" t="n">
        <v>99</v>
      </c>
      <c r="B100" s="11" t="s">
        <v>606</v>
      </c>
      <c r="C100" s="11" t="s">
        <v>12</v>
      </c>
      <c r="D100" s="11" t="s">
        <v>591</v>
      </c>
      <c r="E100" s="11"/>
      <c r="F100" s="11" t="s">
        <v>133</v>
      </c>
      <c r="G100" s="11" t="s">
        <v>66</v>
      </c>
      <c r="H100" s="11"/>
      <c r="I100" s="11"/>
      <c r="J100" s="12" t="s">
        <v>607</v>
      </c>
      <c r="K100" s="11"/>
      <c r="L100" s="11"/>
      <c r="M100" s="11"/>
      <c r="N100" s="11"/>
      <c r="O100" s="11"/>
      <c r="P100" s="11"/>
      <c r="Q100" s="11" t="s">
        <v>55</v>
      </c>
      <c r="R100" s="11" t="n">
        <f aca="false">COUNTA(H100:M100)</f>
        <v>1</v>
      </c>
      <c r="S100" s="11" t="s">
        <v>608</v>
      </c>
      <c r="T100" s="13" t="s">
        <v>609</v>
      </c>
    </row>
    <row r="101" customFormat="false" ht="15" hidden="false" customHeight="false" outlineLevel="0" collapsed="false">
      <c r="A101" s="11" t="n">
        <v>100</v>
      </c>
      <c r="B101" s="11" t="s">
        <v>610</v>
      </c>
      <c r="C101" s="11" t="s">
        <v>12</v>
      </c>
      <c r="D101" s="11" t="s">
        <v>591</v>
      </c>
      <c r="E101" s="11" t="s">
        <v>611</v>
      </c>
      <c r="F101" s="11" t="s">
        <v>156</v>
      </c>
      <c r="G101" s="11" t="s">
        <v>612</v>
      </c>
      <c r="H101" s="11"/>
      <c r="I101" s="12" t="s">
        <v>613</v>
      </c>
      <c r="J101" s="11"/>
      <c r="K101" s="11"/>
      <c r="L101" s="11"/>
      <c r="M101" s="11"/>
      <c r="N101" s="11"/>
      <c r="O101" s="12" t="s">
        <v>54</v>
      </c>
      <c r="P101" s="11"/>
      <c r="Q101" s="11" t="s">
        <v>55</v>
      </c>
      <c r="R101" s="11" t="n">
        <f aca="false">COUNTA(H101:M101)</f>
        <v>1</v>
      </c>
      <c r="S101" s="11" t="s">
        <v>614</v>
      </c>
      <c r="T101" s="13" t="s">
        <v>615</v>
      </c>
    </row>
    <row r="102" customFormat="false" ht="15" hidden="false" customHeight="false" outlineLevel="0" collapsed="false">
      <c r="A102" s="11" t="n">
        <v>101</v>
      </c>
      <c r="B102" s="11" t="s">
        <v>616</v>
      </c>
      <c r="C102" s="11" t="s">
        <v>12</v>
      </c>
      <c r="D102" s="11" t="s">
        <v>617</v>
      </c>
      <c r="E102" s="11"/>
      <c r="F102" s="11" t="s">
        <v>51</v>
      </c>
      <c r="G102" s="11" t="s">
        <v>618</v>
      </c>
      <c r="H102" s="11"/>
      <c r="I102" s="11"/>
      <c r="J102" s="12" t="s">
        <v>619</v>
      </c>
      <c r="K102" s="11"/>
      <c r="L102" s="11"/>
      <c r="M102" s="11"/>
      <c r="N102" s="11"/>
      <c r="O102" s="12" t="s">
        <v>54</v>
      </c>
      <c r="P102" s="11"/>
      <c r="Q102" s="11" t="s">
        <v>55</v>
      </c>
      <c r="R102" s="11" t="n">
        <f aca="false">COUNTA(H102:M102)</f>
        <v>1</v>
      </c>
      <c r="S102" s="11" t="s">
        <v>620</v>
      </c>
      <c r="T102" s="13" t="s">
        <v>621</v>
      </c>
    </row>
    <row r="103" customFormat="false" ht="15" hidden="false" customHeight="false" outlineLevel="0" collapsed="false">
      <c r="A103" s="11" t="n">
        <v>102</v>
      </c>
      <c r="B103" s="11" t="s">
        <v>622</v>
      </c>
      <c r="C103" s="11" t="s">
        <v>12</v>
      </c>
      <c r="D103" s="11" t="s">
        <v>617</v>
      </c>
      <c r="E103" s="11"/>
      <c r="F103" s="11" t="s">
        <v>122</v>
      </c>
      <c r="G103" s="11" t="s">
        <v>66</v>
      </c>
      <c r="H103" s="12" t="s">
        <v>623</v>
      </c>
      <c r="I103" s="12" t="s">
        <v>624</v>
      </c>
      <c r="J103" s="12" t="s">
        <v>625</v>
      </c>
      <c r="K103" s="12" t="s">
        <v>626</v>
      </c>
      <c r="L103" s="11"/>
      <c r="M103" s="11"/>
      <c r="N103" s="11"/>
      <c r="O103" s="12" t="s">
        <v>54</v>
      </c>
      <c r="P103" s="11"/>
      <c r="Q103" s="11" t="s">
        <v>55</v>
      </c>
      <c r="R103" s="11" t="n">
        <f aca="false">COUNTA(H103:M103)</f>
        <v>4</v>
      </c>
      <c r="S103" s="11" t="s">
        <v>627</v>
      </c>
      <c r="T103" s="13" t="s">
        <v>628</v>
      </c>
    </row>
    <row r="104" customFormat="false" ht="15" hidden="false" customHeight="false" outlineLevel="0" collapsed="false">
      <c r="A104" s="11" t="n">
        <v>103</v>
      </c>
      <c r="B104" s="11" t="s">
        <v>629</v>
      </c>
      <c r="C104" s="11" t="s">
        <v>12</v>
      </c>
      <c r="D104" s="11" t="s">
        <v>630</v>
      </c>
      <c r="E104" s="11" t="s">
        <v>631</v>
      </c>
      <c r="F104" s="11" t="s">
        <v>51</v>
      </c>
      <c r="G104" s="11" t="s">
        <v>632</v>
      </c>
      <c r="H104" s="11"/>
      <c r="I104" s="12" t="s">
        <v>633</v>
      </c>
      <c r="J104" s="12" t="s">
        <v>634</v>
      </c>
      <c r="K104" s="11"/>
      <c r="L104" s="11"/>
      <c r="M104" s="11"/>
      <c r="N104" s="11"/>
      <c r="O104" s="12" t="s">
        <v>54</v>
      </c>
      <c r="P104" s="11"/>
      <c r="Q104" s="11" t="s">
        <v>55</v>
      </c>
      <c r="R104" s="11" t="n">
        <f aca="false">COUNTA(H104:M104)</f>
        <v>2</v>
      </c>
      <c r="S104" s="11" t="s">
        <v>635</v>
      </c>
      <c r="T104" s="13" t="s">
        <v>636</v>
      </c>
    </row>
    <row r="105" customFormat="false" ht="15" hidden="false" customHeight="false" outlineLevel="0" collapsed="false">
      <c r="A105" s="11" t="n">
        <v>104</v>
      </c>
      <c r="B105" s="11" t="s">
        <v>637</v>
      </c>
      <c r="C105" s="11" t="s">
        <v>12</v>
      </c>
      <c r="D105" s="11" t="s">
        <v>638</v>
      </c>
      <c r="E105" s="11"/>
      <c r="F105" s="11" t="s">
        <v>133</v>
      </c>
      <c r="G105" s="11" t="s">
        <v>66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 t="s">
        <v>55</v>
      </c>
      <c r="R105" s="11" t="n">
        <f aca="false">COUNTA(H105:M105)</f>
        <v>0</v>
      </c>
      <c r="S105" s="11" t="s">
        <v>639</v>
      </c>
      <c r="T105" s="13" t="s">
        <v>640</v>
      </c>
    </row>
    <row r="106" customFormat="false" ht="15" hidden="false" customHeight="false" outlineLevel="0" collapsed="false">
      <c r="A106" s="11" t="n">
        <v>105</v>
      </c>
      <c r="B106" s="11" t="s">
        <v>641</v>
      </c>
      <c r="C106" s="11" t="s">
        <v>12</v>
      </c>
      <c r="D106" s="11" t="s">
        <v>638</v>
      </c>
      <c r="E106" s="11"/>
      <c r="F106" s="11" t="s">
        <v>133</v>
      </c>
      <c r="G106" s="11" t="s">
        <v>66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 t="s">
        <v>55</v>
      </c>
      <c r="R106" s="11" t="n">
        <f aca="false">COUNTA(H106:M106)</f>
        <v>0</v>
      </c>
      <c r="S106" s="11" t="s">
        <v>639</v>
      </c>
      <c r="T106" s="13" t="s">
        <v>640</v>
      </c>
    </row>
    <row r="107" customFormat="false" ht="15" hidden="false" customHeight="false" outlineLevel="0" collapsed="false">
      <c r="A107" s="11" t="n">
        <v>106</v>
      </c>
      <c r="B107" s="11" t="s">
        <v>642</v>
      </c>
      <c r="C107" s="11" t="s">
        <v>12</v>
      </c>
      <c r="D107" s="11" t="s">
        <v>638</v>
      </c>
      <c r="E107" s="11"/>
      <c r="F107" s="11" t="s">
        <v>133</v>
      </c>
      <c r="G107" s="11" t="s">
        <v>66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 t="s">
        <v>55</v>
      </c>
      <c r="R107" s="11" t="n">
        <f aca="false">COUNTA(H107:M107)</f>
        <v>0</v>
      </c>
      <c r="S107" s="11" t="s">
        <v>639</v>
      </c>
      <c r="T107" s="13" t="s">
        <v>640</v>
      </c>
    </row>
    <row r="108" customFormat="false" ht="15" hidden="false" customHeight="false" outlineLevel="0" collapsed="false">
      <c r="A108" s="11" t="n">
        <v>107</v>
      </c>
      <c r="B108" s="11" t="s">
        <v>643</v>
      </c>
      <c r="C108" s="11" t="s">
        <v>12</v>
      </c>
      <c r="D108" s="11" t="s">
        <v>638</v>
      </c>
      <c r="E108" s="11"/>
      <c r="F108" s="11" t="s">
        <v>133</v>
      </c>
      <c r="G108" s="11" t="s">
        <v>66</v>
      </c>
      <c r="H108" s="11"/>
      <c r="I108" s="12" t="s">
        <v>644</v>
      </c>
      <c r="J108" s="11"/>
      <c r="K108" s="11"/>
      <c r="L108" s="11"/>
      <c r="M108" s="11"/>
      <c r="N108" s="11"/>
      <c r="O108" s="11"/>
      <c r="P108" s="11"/>
      <c r="Q108" s="11" t="s">
        <v>55</v>
      </c>
      <c r="R108" s="11" t="n">
        <f aca="false">COUNTA(H108:M108)</f>
        <v>1</v>
      </c>
      <c r="S108" s="11" t="s">
        <v>645</v>
      </c>
      <c r="T108" s="13" t="s">
        <v>646</v>
      </c>
    </row>
    <row r="109" customFormat="false" ht="15" hidden="false" customHeight="false" outlineLevel="0" collapsed="false">
      <c r="A109" s="11" t="n">
        <v>108</v>
      </c>
      <c r="B109" s="11" t="s">
        <v>647</v>
      </c>
      <c r="C109" s="11" t="s">
        <v>12</v>
      </c>
      <c r="D109" s="11" t="s">
        <v>638</v>
      </c>
      <c r="E109" s="11"/>
      <c r="F109" s="11" t="s">
        <v>133</v>
      </c>
      <c r="G109" s="11" t="s">
        <v>66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 t="s">
        <v>55</v>
      </c>
      <c r="R109" s="11" t="n">
        <f aca="false">COUNTA(H109:M109)</f>
        <v>0</v>
      </c>
      <c r="S109" s="11" t="s">
        <v>639</v>
      </c>
      <c r="T109" s="13" t="s">
        <v>640</v>
      </c>
    </row>
    <row r="110" customFormat="false" ht="15" hidden="false" customHeight="false" outlineLevel="0" collapsed="false">
      <c r="A110" s="11" t="n">
        <v>109</v>
      </c>
      <c r="B110" s="11" t="s">
        <v>648</v>
      </c>
      <c r="C110" s="11" t="s">
        <v>12</v>
      </c>
      <c r="D110" s="11" t="s">
        <v>638</v>
      </c>
      <c r="E110" s="11"/>
      <c r="F110" s="11" t="s">
        <v>133</v>
      </c>
      <c r="G110" s="11" t="s">
        <v>66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 t="s">
        <v>55</v>
      </c>
      <c r="R110" s="11" t="n">
        <f aca="false">COUNTA(H110:M110)</f>
        <v>0</v>
      </c>
      <c r="S110" s="11" t="s">
        <v>639</v>
      </c>
      <c r="T110" s="13" t="s">
        <v>640</v>
      </c>
    </row>
    <row r="111" customFormat="false" ht="15" hidden="false" customHeight="false" outlineLevel="0" collapsed="false">
      <c r="A111" s="11" t="n">
        <v>110</v>
      </c>
      <c r="B111" s="11" t="s">
        <v>649</v>
      </c>
      <c r="C111" s="11" t="s">
        <v>12</v>
      </c>
      <c r="D111" s="11" t="s">
        <v>638</v>
      </c>
      <c r="E111" s="11"/>
      <c r="F111" s="11" t="s">
        <v>133</v>
      </c>
      <c r="G111" s="11" t="s">
        <v>650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 t="s">
        <v>55</v>
      </c>
      <c r="R111" s="11" t="n">
        <f aca="false">COUNTA(H111:M111)</f>
        <v>0</v>
      </c>
      <c r="S111" s="11" t="s">
        <v>639</v>
      </c>
      <c r="T111" s="13" t="s">
        <v>640</v>
      </c>
    </row>
    <row r="112" customFormat="false" ht="15" hidden="false" customHeight="false" outlineLevel="0" collapsed="false">
      <c r="A112" s="11" t="n">
        <v>111</v>
      </c>
      <c r="B112" s="11" t="s">
        <v>651</v>
      </c>
      <c r="C112" s="11" t="s">
        <v>12</v>
      </c>
      <c r="D112" s="11" t="s">
        <v>638</v>
      </c>
      <c r="E112" s="11"/>
      <c r="F112" s="11" t="s">
        <v>389</v>
      </c>
      <c r="G112" s="11" t="s">
        <v>66</v>
      </c>
      <c r="H112" s="11"/>
      <c r="I112" s="11"/>
      <c r="J112" s="12" t="s">
        <v>652</v>
      </c>
      <c r="K112" s="11"/>
      <c r="L112" s="11"/>
      <c r="M112" s="11"/>
      <c r="N112" s="11" t="s">
        <v>653</v>
      </c>
      <c r="O112" s="11"/>
      <c r="P112" s="11"/>
      <c r="Q112" s="11" t="s">
        <v>55</v>
      </c>
      <c r="R112" s="11" t="n">
        <f aca="false">COUNTA(H112:M112)</f>
        <v>1</v>
      </c>
      <c r="S112" s="11" t="s">
        <v>654</v>
      </c>
      <c r="T112" s="13" t="s">
        <v>655</v>
      </c>
    </row>
    <row r="113" customFormat="false" ht="15" hidden="false" customHeight="false" outlineLevel="0" collapsed="false">
      <c r="A113" s="11" t="n">
        <v>112</v>
      </c>
      <c r="B113" s="11" t="s">
        <v>656</v>
      </c>
      <c r="C113" s="11" t="s">
        <v>12</v>
      </c>
      <c r="D113" s="11" t="s">
        <v>657</v>
      </c>
      <c r="E113" s="11" t="s">
        <v>658</v>
      </c>
      <c r="F113" s="11" t="s">
        <v>51</v>
      </c>
      <c r="G113" s="11" t="s">
        <v>659</v>
      </c>
      <c r="H113" s="11"/>
      <c r="I113" s="11"/>
      <c r="J113" s="12" t="s">
        <v>660</v>
      </c>
      <c r="K113" s="11"/>
      <c r="L113" s="11"/>
      <c r="M113" s="11"/>
      <c r="N113" s="11"/>
      <c r="O113" s="12" t="s">
        <v>54</v>
      </c>
      <c r="P113" s="11"/>
      <c r="Q113" s="11" t="s">
        <v>55</v>
      </c>
      <c r="R113" s="11" t="n">
        <f aca="false">COUNTA(H113:M113)</f>
        <v>1</v>
      </c>
      <c r="S113" s="11"/>
      <c r="T113" s="13" t="s">
        <v>661</v>
      </c>
    </row>
    <row r="114" customFormat="false" ht="15" hidden="false" customHeight="false" outlineLevel="0" collapsed="false">
      <c r="A114" s="11" t="n">
        <v>113</v>
      </c>
      <c r="B114" s="11" t="s">
        <v>662</v>
      </c>
      <c r="C114" s="11" t="s">
        <v>12</v>
      </c>
      <c r="D114" s="11" t="s">
        <v>657</v>
      </c>
      <c r="E114" s="11"/>
      <c r="F114" s="11" t="s">
        <v>51</v>
      </c>
      <c r="G114" s="11" t="s">
        <v>663</v>
      </c>
      <c r="H114" s="11"/>
      <c r="I114" s="11"/>
      <c r="J114" s="11"/>
      <c r="K114" s="11"/>
      <c r="L114" s="11"/>
      <c r="M114" s="11"/>
      <c r="N114" s="11"/>
      <c r="O114" s="12" t="s">
        <v>54</v>
      </c>
      <c r="P114" s="11"/>
      <c r="Q114" s="11" t="s">
        <v>55</v>
      </c>
      <c r="R114" s="11" t="n">
        <f aca="false">COUNTA(H114:M114)</f>
        <v>0</v>
      </c>
      <c r="S114" s="11" t="s">
        <v>664</v>
      </c>
      <c r="T114" s="13" t="s">
        <v>665</v>
      </c>
    </row>
    <row r="115" customFormat="false" ht="15" hidden="false" customHeight="false" outlineLevel="0" collapsed="false">
      <c r="A115" s="11" t="n">
        <v>114</v>
      </c>
      <c r="B115" s="11" t="s">
        <v>666</v>
      </c>
      <c r="C115" s="11" t="s">
        <v>12</v>
      </c>
      <c r="D115" s="11" t="s">
        <v>657</v>
      </c>
      <c r="E115" s="11" t="s">
        <v>667</v>
      </c>
      <c r="F115" s="11" t="s">
        <v>156</v>
      </c>
      <c r="G115" s="11" t="s">
        <v>668</v>
      </c>
      <c r="H115" s="11"/>
      <c r="I115" s="12" t="s">
        <v>669</v>
      </c>
      <c r="J115" s="11"/>
      <c r="K115" s="11"/>
      <c r="L115" s="11"/>
      <c r="M115" s="11"/>
      <c r="N115" s="11"/>
      <c r="O115" s="12" t="s">
        <v>54</v>
      </c>
      <c r="P115" s="11"/>
      <c r="Q115" s="11" t="s">
        <v>73</v>
      </c>
      <c r="R115" s="11" t="n">
        <f aca="false">COUNTA(H115:M115)</f>
        <v>1</v>
      </c>
      <c r="S115" s="11" t="s">
        <v>670</v>
      </c>
      <c r="T115" s="13" t="s">
        <v>671</v>
      </c>
    </row>
    <row r="116" customFormat="false" ht="15" hidden="false" customHeight="false" outlineLevel="0" collapsed="false">
      <c r="A116" s="11" t="n">
        <v>115</v>
      </c>
      <c r="B116" s="11" t="s">
        <v>672</v>
      </c>
      <c r="C116" s="11" t="s">
        <v>12</v>
      </c>
      <c r="D116" s="11" t="s">
        <v>657</v>
      </c>
      <c r="E116" s="11" t="s">
        <v>673</v>
      </c>
      <c r="F116" s="11" t="s">
        <v>51</v>
      </c>
      <c r="G116" s="11" t="s">
        <v>674</v>
      </c>
      <c r="H116" s="11"/>
      <c r="I116" s="11"/>
      <c r="J116" s="11"/>
      <c r="K116" s="11"/>
      <c r="L116" s="11"/>
      <c r="M116" s="11"/>
      <c r="N116" s="11"/>
      <c r="O116" s="12" t="s">
        <v>54</v>
      </c>
      <c r="P116" s="11"/>
      <c r="Q116" s="11" t="s">
        <v>55</v>
      </c>
      <c r="R116" s="11" t="n">
        <f aca="false">COUNTA(H116:M116)</f>
        <v>0</v>
      </c>
      <c r="S116" s="11" t="s">
        <v>675</v>
      </c>
      <c r="T116" s="13" t="s">
        <v>676</v>
      </c>
    </row>
    <row r="117" customFormat="false" ht="15" hidden="false" customHeight="false" outlineLevel="0" collapsed="false">
      <c r="A117" s="11" t="n">
        <v>116</v>
      </c>
      <c r="B117" s="11" t="s">
        <v>677</v>
      </c>
      <c r="C117" s="11" t="s">
        <v>12</v>
      </c>
      <c r="D117" s="11" t="s">
        <v>657</v>
      </c>
      <c r="E117" s="11" t="s">
        <v>678</v>
      </c>
      <c r="F117" s="11" t="s">
        <v>122</v>
      </c>
      <c r="G117" s="11" t="s">
        <v>679</v>
      </c>
      <c r="H117" s="11"/>
      <c r="I117" s="12" t="s">
        <v>680</v>
      </c>
      <c r="J117" s="12" t="s">
        <v>681</v>
      </c>
      <c r="K117" s="11"/>
      <c r="L117" s="11" t="s">
        <v>682</v>
      </c>
      <c r="M117" s="11" t="s">
        <v>683</v>
      </c>
      <c r="N117" s="11"/>
      <c r="O117" s="12" t="s">
        <v>54</v>
      </c>
      <c r="P117" s="11"/>
      <c r="Q117" s="11" t="s">
        <v>55</v>
      </c>
      <c r="R117" s="11" t="n">
        <f aca="false">COUNTA(H117:M117)</f>
        <v>4</v>
      </c>
      <c r="S117" s="11" t="s">
        <v>684</v>
      </c>
      <c r="T117" s="13" t="s">
        <v>685</v>
      </c>
    </row>
    <row r="118" customFormat="false" ht="15" hidden="false" customHeight="false" outlineLevel="0" collapsed="false">
      <c r="A118" s="11" t="n">
        <v>117</v>
      </c>
      <c r="B118" s="11" t="s">
        <v>686</v>
      </c>
      <c r="C118" s="11" t="s">
        <v>12</v>
      </c>
      <c r="D118" s="11" t="s">
        <v>657</v>
      </c>
      <c r="E118" s="11"/>
      <c r="F118" s="11" t="s">
        <v>133</v>
      </c>
      <c r="G118" s="11" t="s">
        <v>66</v>
      </c>
      <c r="H118" s="11"/>
      <c r="I118" s="11"/>
      <c r="J118" s="12" t="s">
        <v>687</v>
      </c>
      <c r="K118" s="11"/>
      <c r="L118" s="11"/>
      <c r="M118" s="11"/>
      <c r="N118" s="11"/>
      <c r="O118" s="11"/>
      <c r="P118" s="11"/>
      <c r="Q118" s="11" t="s">
        <v>55</v>
      </c>
      <c r="R118" s="11" t="n">
        <f aca="false">COUNTA(H118:M118)</f>
        <v>1</v>
      </c>
      <c r="S118" s="11" t="s">
        <v>688</v>
      </c>
      <c r="T118" s="13" t="s">
        <v>689</v>
      </c>
    </row>
    <row r="119" customFormat="false" ht="15" hidden="false" customHeight="false" outlineLevel="0" collapsed="false">
      <c r="A119" s="11" t="n">
        <v>118</v>
      </c>
      <c r="B119" s="11" t="s">
        <v>690</v>
      </c>
      <c r="C119" s="11" t="s">
        <v>12</v>
      </c>
      <c r="D119" s="11" t="s">
        <v>657</v>
      </c>
      <c r="E119" s="11" t="s">
        <v>691</v>
      </c>
      <c r="F119" s="11" t="s">
        <v>122</v>
      </c>
      <c r="G119" s="11" t="s">
        <v>692</v>
      </c>
      <c r="H119" s="11"/>
      <c r="I119" s="11"/>
      <c r="J119" s="12" t="s">
        <v>693</v>
      </c>
      <c r="K119" s="11"/>
      <c r="L119" s="11"/>
      <c r="M119" s="11"/>
      <c r="N119" s="11" t="s">
        <v>694</v>
      </c>
      <c r="O119" s="12" t="s">
        <v>54</v>
      </c>
      <c r="P119" s="11"/>
      <c r="Q119" s="11" t="s">
        <v>55</v>
      </c>
      <c r="R119" s="11" t="n">
        <f aca="false">COUNTA(H119:M119)</f>
        <v>1</v>
      </c>
      <c r="S119" s="11" t="s">
        <v>695</v>
      </c>
      <c r="T119" s="13" t="s">
        <v>696</v>
      </c>
    </row>
    <row r="120" customFormat="false" ht="15" hidden="false" customHeight="false" outlineLevel="0" collapsed="false">
      <c r="A120" s="11" t="n">
        <v>119</v>
      </c>
      <c r="B120" s="11" t="s">
        <v>697</v>
      </c>
      <c r="C120" s="11" t="s">
        <v>12</v>
      </c>
      <c r="D120" s="11" t="s">
        <v>657</v>
      </c>
      <c r="E120" s="11"/>
      <c r="F120" s="11" t="s">
        <v>133</v>
      </c>
      <c r="G120" s="11" t="s">
        <v>66</v>
      </c>
      <c r="H120" s="11"/>
      <c r="I120" s="11"/>
      <c r="J120" s="12" t="s">
        <v>698</v>
      </c>
      <c r="K120" s="11"/>
      <c r="L120" s="11"/>
      <c r="M120" s="11"/>
      <c r="N120" s="11"/>
      <c r="O120" s="11"/>
      <c r="P120" s="11"/>
      <c r="Q120" s="11" t="s">
        <v>55</v>
      </c>
      <c r="R120" s="11" t="n">
        <f aca="false">COUNTA(H120:M120)</f>
        <v>1</v>
      </c>
      <c r="S120" s="11" t="s">
        <v>699</v>
      </c>
      <c r="T120" s="13" t="s">
        <v>700</v>
      </c>
    </row>
    <row r="121" customFormat="false" ht="15" hidden="false" customHeight="false" outlineLevel="0" collapsed="false">
      <c r="A121" s="11" t="n">
        <v>120</v>
      </c>
      <c r="B121" s="11" t="s">
        <v>701</v>
      </c>
      <c r="C121" s="11" t="s">
        <v>12</v>
      </c>
      <c r="D121" s="11" t="s">
        <v>657</v>
      </c>
      <c r="E121" s="11"/>
      <c r="F121" s="11" t="s">
        <v>133</v>
      </c>
      <c r="G121" s="11" t="s">
        <v>702</v>
      </c>
      <c r="H121" s="11"/>
      <c r="I121" s="11"/>
      <c r="J121" s="12" t="s">
        <v>703</v>
      </c>
      <c r="K121" s="11"/>
      <c r="L121" s="11"/>
      <c r="M121" s="11"/>
      <c r="N121" s="11"/>
      <c r="O121" s="11"/>
      <c r="P121" s="11"/>
      <c r="Q121" s="11" t="s">
        <v>55</v>
      </c>
      <c r="R121" s="11" t="n">
        <f aca="false">COUNTA(H121:M121)</f>
        <v>1</v>
      </c>
      <c r="S121" s="11"/>
      <c r="T121" s="13" t="s">
        <v>703</v>
      </c>
    </row>
    <row r="122" customFormat="false" ht="15" hidden="false" customHeight="false" outlineLevel="0" collapsed="false">
      <c r="A122" s="11" t="n">
        <v>121</v>
      </c>
      <c r="B122" s="11" t="s">
        <v>704</v>
      </c>
      <c r="C122" s="11" t="s">
        <v>12</v>
      </c>
      <c r="D122" s="11" t="s">
        <v>657</v>
      </c>
      <c r="E122" s="11" t="s">
        <v>705</v>
      </c>
      <c r="F122" s="11" t="s">
        <v>51</v>
      </c>
      <c r="G122" s="11" t="s">
        <v>706</v>
      </c>
      <c r="H122" s="11"/>
      <c r="I122" s="11"/>
      <c r="J122" s="12" t="s">
        <v>707</v>
      </c>
      <c r="K122" s="11"/>
      <c r="L122" s="11" t="s">
        <v>708</v>
      </c>
      <c r="M122" s="11"/>
      <c r="N122" s="11"/>
      <c r="O122" s="12" t="s">
        <v>54</v>
      </c>
      <c r="P122" s="11"/>
      <c r="Q122" s="11" t="s">
        <v>73</v>
      </c>
      <c r="R122" s="11" t="n">
        <f aca="false">COUNTA(H122:M122)</f>
        <v>2</v>
      </c>
      <c r="S122" s="11" t="s">
        <v>709</v>
      </c>
      <c r="T122" s="13" t="s">
        <v>710</v>
      </c>
    </row>
    <row r="123" customFormat="false" ht="15" hidden="false" customHeight="false" outlineLevel="0" collapsed="false">
      <c r="A123" s="11" t="n">
        <v>122</v>
      </c>
      <c r="B123" s="11" t="s">
        <v>711</v>
      </c>
      <c r="C123" s="11" t="s">
        <v>12</v>
      </c>
      <c r="D123" s="11" t="s">
        <v>657</v>
      </c>
      <c r="E123" s="11" t="s">
        <v>712</v>
      </c>
      <c r="F123" s="11" t="s">
        <v>51</v>
      </c>
      <c r="G123" s="11" t="s">
        <v>713</v>
      </c>
      <c r="H123" s="11"/>
      <c r="I123" s="11"/>
      <c r="J123" s="11"/>
      <c r="K123" s="11"/>
      <c r="L123" s="11"/>
      <c r="M123" s="11"/>
      <c r="N123" s="11"/>
      <c r="O123" s="12" t="s">
        <v>54</v>
      </c>
      <c r="P123" s="11"/>
      <c r="Q123" s="11" t="s">
        <v>55</v>
      </c>
      <c r="R123" s="11" t="n">
        <f aca="false">COUNTA(H123:M123)</f>
        <v>0</v>
      </c>
      <c r="S123" s="11" t="s">
        <v>714</v>
      </c>
      <c r="T123" s="13" t="s">
        <v>715</v>
      </c>
    </row>
    <row r="124" customFormat="false" ht="15" hidden="false" customHeight="false" outlineLevel="0" collapsed="false">
      <c r="A124" s="11" t="n">
        <v>123</v>
      </c>
      <c r="B124" s="11" t="s">
        <v>716</v>
      </c>
      <c r="C124" s="11" t="s">
        <v>12</v>
      </c>
      <c r="D124" s="11" t="s">
        <v>717</v>
      </c>
      <c r="E124" s="11" t="s">
        <v>718</v>
      </c>
      <c r="F124" s="11" t="s">
        <v>51</v>
      </c>
      <c r="G124" s="11" t="s">
        <v>719</v>
      </c>
      <c r="H124" s="11"/>
      <c r="I124" s="11"/>
      <c r="J124" s="12" t="s">
        <v>720</v>
      </c>
      <c r="K124" s="11"/>
      <c r="L124" s="11"/>
      <c r="M124" s="11"/>
      <c r="N124" s="11"/>
      <c r="O124" s="12" t="s">
        <v>54</v>
      </c>
      <c r="P124" s="11"/>
      <c r="Q124" s="11" t="s">
        <v>55</v>
      </c>
      <c r="R124" s="11" t="n">
        <f aca="false">COUNTA(H124:M124)</f>
        <v>1</v>
      </c>
      <c r="S124" s="11"/>
      <c r="T124" s="13" t="s">
        <v>721</v>
      </c>
    </row>
    <row r="125" customFormat="false" ht="15" hidden="false" customHeight="false" outlineLevel="0" collapsed="false">
      <c r="A125" s="11" t="n">
        <v>124</v>
      </c>
      <c r="B125" s="11" t="s">
        <v>722</v>
      </c>
      <c r="C125" s="11" t="s">
        <v>12</v>
      </c>
      <c r="D125" s="11" t="s">
        <v>723</v>
      </c>
      <c r="E125" s="11" t="s">
        <v>724</v>
      </c>
      <c r="F125" s="11" t="s">
        <v>51</v>
      </c>
      <c r="G125" s="11" t="s">
        <v>66</v>
      </c>
      <c r="H125" s="11"/>
      <c r="I125" s="11"/>
      <c r="J125" s="11"/>
      <c r="K125" s="11"/>
      <c r="L125" s="11"/>
      <c r="M125" s="11"/>
      <c r="N125" s="11"/>
      <c r="O125" s="12" t="s">
        <v>54</v>
      </c>
      <c r="P125" s="11"/>
      <c r="Q125" s="11" t="s">
        <v>55</v>
      </c>
      <c r="R125" s="11" t="n">
        <f aca="false">COUNTA(H125:M125)</f>
        <v>0</v>
      </c>
      <c r="S125" s="11" t="s">
        <v>725</v>
      </c>
      <c r="T125" s="13" t="s">
        <v>726</v>
      </c>
    </row>
    <row r="126" customFormat="false" ht="15" hidden="false" customHeight="false" outlineLevel="0" collapsed="false">
      <c r="A126" s="11" t="n">
        <v>125</v>
      </c>
      <c r="B126" s="11" t="s">
        <v>727</v>
      </c>
      <c r="C126" s="11" t="s">
        <v>13</v>
      </c>
      <c r="D126" s="11" t="s">
        <v>728</v>
      </c>
      <c r="E126" s="11"/>
      <c r="F126" s="11" t="s">
        <v>389</v>
      </c>
      <c r="G126" s="11" t="s">
        <v>729</v>
      </c>
      <c r="H126" s="11"/>
      <c r="I126" s="12" t="s">
        <v>730</v>
      </c>
      <c r="J126" s="12" t="s">
        <v>731</v>
      </c>
      <c r="K126" s="11"/>
      <c r="L126" s="11"/>
      <c r="M126" s="11"/>
      <c r="N126" s="11"/>
      <c r="O126" s="11"/>
      <c r="P126" s="11"/>
      <c r="Q126" s="11" t="s">
        <v>55</v>
      </c>
      <c r="R126" s="11" t="n">
        <f aca="false">COUNTA(H126:M126)</f>
        <v>2</v>
      </c>
      <c r="S126" s="11" t="s">
        <v>732</v>
      </c>
      <c r="T126" s="13" t="s">
        <v>733</v>
      </c>
    </row>
    <row r="127" customFormat="false" ht="15" hidden="false" customHeight="false" outlineLevel="0" collapsed="false">
      <c r="A127" s="11" t="n">
        <v>126</v>
      </c>
      <c r="B127" s="11" t="s">
        <v>734</v>
      </c>
      <c r="C127" s="11" t="s">
        <v>13</v>
      </c>
      <c r="D127" s="11" t="s">
        <v>728</v>
      </c>
      <c r="E127" s="11" t="s">
        <v>735</v>
      </c>
      <c r="F127" s="11" t="s">
        <v>51</v>
      </c>
      <c r="G127" s="11" t="s">
        <v>66</v>
      </c>
      <c r="H127" s="11"/>
      <c r="I127" s="11"/>
      <c r="J127" s="11"/>
      <c r="K127" s="11"/>
      <c r="L127" s="11"/>
      <c r="M127" s="11"/>
      <c r="N127" s="11"/>
      <c r="O127" s="12" t="s">
        <v>54</v>
      </c>
      <c r="P127" s="11"/>
      <c r="Q127" s="11" t="s">
        <v>73</v>
      </c>
      <c r="R127" s="11" t="n">
        <f aca="false">COUNTA(H127:M127)</f>
        <v>0</v>
      </c>
      <c r="S127" s="11" t="s">
        <v>736</v>
      </c>
      <c r="T127" s="13" t="s">
        <v>737</v>
      </c>
    </row>
    <row r="128" customFormat="false" ht="15" hidden="false" customHeight="false" outlineLevel="0" collapsed="false">
      <c r="A128" s="11" t="n">
        <v>127</v>
      </c>
      <c r="B128" s="11" t="s">
        <v>738</v>
      </c>
      <c r="C128" s="11" t="s">
        <v>13</v>
      </c>
      <c r="D128" s="11" t="s">
        <v>728</v>
      </c>
      <c r="E128" s="11"/>
      <c r="F128" s="11" t="s">
        <v>51</v>
      </c>
      <c r="G128" s="11" t="s">
        <v>739</v>
      </c>
      <c r="H128" s="11"/>
      <c r="I128" s="11"/>
      <c r="J128" s="11"/>
      <c r="K128" s="11"/>
      <c r="L128" s="11"/>
      <c r="M128" s="11"/>
      <c r="N128" s="11"/>
      <c r="O128" s="12" t="s">
        <v>54</v>
      </c>
      <c r="P128" s="11"/>
      <c r="Q128" s="11" t="s">
        <v>55</v>
      </c>
      <c r="R128" s="11" t="n">
        <f aca="false">COUNTA(H128:M128)</f>
        <v>0</v>
      </c>
      <c r="S128" s="11"/>
      <c r="T128" s="13" t="s">
        <v>740</v>
      </c>
    </row>
    <row r="129" customFormat="false" ht="15" hidden="false" customHeight="false" outlineLevel="0" collapsed="false">
      <c r="A129" s="11" t="n">
        <v>128</v>
      </c>
      <c r="B129" s="11" t="s">
        <v>741</v>
      </c>
      <c r="C129" s="11" t="s">
        <v>13</v>
      </c>
      <c r="D129" s="11" t="s">
        <v>728</v>
      </c>
      <c r="E129" s="11" t="s">
        <v>742</v>
      </c>
      <c r="F129" s="11" t="s">
        <v>51</v>
      </c>
      <c r="G129" s="11" t="s">
        <v>743</v>
      </c>
      <c r="H129" s="11"/>
      <c r="I129" s="12" t="s">
        <v>744</v>
      </c>
      <c r="J129" s="11"/>
      <c r="K129" s="11"/>
      <c r="L129" s="11"/>
      <c r="M129" s="11"/>
      <c r="N129" s="11" t="s">
        <v>745</v>
      </c>
      <c r="O129" s="12" t="s">
        <v>54</v>
      </c>
      <c r="P129" s="11"/>
      <c r="Q129" s="11" t="s">
        <v>73</v>
      </c>
      <c r="R129" s="11" t="n">
        <f aca="false">COUNTA(H129:M129)</f>
        <v>1</v>
      </c>
      <c r="S129" s="11" t="s">
        <v>746</v>
      </c>
      <c r="T129" s="13" t="s">
        <v>747</v>
      </c>
    </row>
    <row r="130" customFormat="false" ht="15" hidden="false" customHeight="false" outlineLevel="0" collapsed="false">
      <c r="A130" s="11" t="n">
        <v>129</v>
      </c>
      <c r="B130" s="11" t="s">
        <v>748</v>
      </c>
      <c r="C130" s="11" t="s">
        <v>13</v>
      </c>
      <c r="D130" s="11" t="s">
        <v>728</v>
      </c>
      <c r="E130" s="11" t="s">
        <v>749</v>
      </c>
      <c r="F130" s="11" t="s">
        <v>156</v>
      </c>
      <c r="G130" s="11" t="s">
        <v>750</v>
      </c>
      <c r="H130" s="11"/>
      <c r="I130" s="12" t="s">
        <v>751</v>
      </c>
      <c r="J130" s="11"/>
      <c r="K130" s="11"/>
      <c r="L130" s="11"/>
      <c r="M130" s="11"/>
      <c r="N130" s="11"/>
      <c r="O130" s="12" t="s">
        <v>54</v>
      </c>
      <c r="P130" s="11"/>
      <c r="Q130" s="11" t="s">
        <v>55</v>
      </c>
      <c r="R130" s="11" t="n">
        <f aca="false">COUNTA(H130:M130)</f>
        <v>1</v>
      </c>
      <c r="S130" s="11" t="s">
        <v>752</v>
      </c>
      <c r="T130" s="13" t="s">
        <v>753</v>
      </c>
    </row>
    <row r="131" customFormat="false" ht="15" hidden="false" customHeight="false" outlineLevel="0" collapsed="false">
      <c r="A131" s="11" t="n">
        <v>130</v>
      </c>
      <c r="B131" s="11" t="s">
        <v>754</v>
      </c>
      <c r="C131" s="11" t="s">
        <v>13</v>
      </c>
      <c r="D131" s="11" t="s">
        <v>728</v>
      </c>
      <c r="E131" s="11" t="s">
        <v>755</v>
      </c>
      <c r="F131" s="11" t="s">
        <v>122</v>
      </c>
      <c r="G131" s="11" t="s">
        <v>756</v>
      </c>
      <c r="H131" s="12" t="s">
        <v>757</v>
      </c>
      <c r="I131" s="12" t="s">
        <v>758</v>
      </c>
      <c r="J131" s="12" t="s">
        <v>759</v>
      </c>
      <c r="K131" s="11"/>
      <c r="L131" s="11"/>
      <c r="M131" s="11"/>
      <c r="N131" s="11"/>
      <c r="O131" s="12" t="s">
        <v>54</v>
      </c>
      <c r="P131" s="11"/>
      <c r="Q131" s="11" t="s">
        <v>73</v>
      </c>
      <c r="R131" s="11" t="n">
        <f aca="false">COUNTA(H131:M131)</f>
        <v>3</v>
      </c>
      <c r="S131" s="11" t="s">
        <v>760</v>
      </c>
      <c r="T131" s="13" t="s">
        <v>761</v>
      </c>
    </row>
    <row r="132" customFormat="false" ht="15" hidden="false" customHeight="false" outlineLevel="0" collapsed="false">
      <c r="A132" s="11" t="n">
        <v>131</v>
      </c>
      <c r="B132" s="11" t="s">
        <v>762</v>
      </c>
      <c r="C132" s="11" t="s">
        <v>13</v>
      </c>
      <c r="D132" s="11" t="s">
        <v>728</v>
      </c>
      <c r="E132" s="11" t="s">
        <v>763</v>
      </c>
      <c r="F132" s="11" t="s">
        <v>51</v>
      </c>
      <c r="G132" s="11" t="s">
        <v>66</v>
      </c>
      <c r="H132" s="11"/>
      <c r="I132" s="11"/>
      <c r="J132" s="11"/>
      <c r="K132" s="11"/>
      <c r="L132" s="11"/>
      <c r="M132" s="11"/>
      <c r="N132" s="11"/>
      <c r="O132" s="12" t="s">
        <v>54</v>
      </c>
      <c r="P132" s="11"/>
      <c r="Q132" s="11" t="s">
        <v>55</v>
      </c>
      <c r="R132" s="11" t="n">
        <f aca="false">COUNTA(H132:M132)</f>
        <v>0</v>
      </c>
      <c r="S132" s="11"/>
      <c r="T132" s="13" t="s">
        <v>764</v>
      </c>
    </row>
    <row r="133" customFormat="false" ht="15" hidden="false" customHeight="false" outlineLevel="0" collapsed="false">
      <c r="A133" s="11" t="n">
        <v>132</v>
      </c>
      <c r="B133" s="11" t="s">
        <v>765</v>
      </c>
      <c r="C133" s="11" t="s">
        <v>13</v>
      </c>
      <c r="D133" s="11" t="s">
        <v>728</v>
      </c>
      <c r="E133" s="11" t="s">
        <v>766</v>
      </c>
      <c r="F133" s="11" t="s">
        <v>51</v>
      </c>
      <c r="G133" s="11" t="s">
        <v>767</v>
      </c>
      <c r="H133" s="11"/>
      <c r="I133" s="11"/>
      <c r="J133" s="12" t="s">
        <v>768</v>
      </c>
      <c r="K133" s="11"/>
      <c r="L133" s="11"/>
      <c r="M133" s="11"/>
      <c r="N133" s="11"/>
      <c r="O133" s="12" t="s">
        <v>54</v>
      </c>
      <c r="P133" s="11"/>
      <c r="Q133" s="11" t="s">
        <v>55</v>
      </c>
      <c r="R133" s="11" t="n">
        <f aca="false">COUNTA(H133:M133)</f>
        <v>1</v>
      </c>
      <c r="S133" s="11" t="s">
        <v>769</v>
      </c>
      <c r="T133" s="13" t="s">
        <v>770</v>
      </c>
    </row>
    <row r="134" customFormat="false" ht="15" hidden="false" customHeight="false" outlineLevel="0" collapsed="false">
      <c r="A134" s="11" t="n">
        <v>133</v>
      </c>
      <c r="B134" s="11" t="s">
        <v>771</v>
      </c>
      <c r="C134" s="11" t="s">
        <v>13</v>
      </c>
      <c r="D134" s="11" t="s">
        <v>728</v>
      </c>
      <c r="E134" s="11" t="s">
        <v>772</v>
      </c>
      <c r="F134" s="11" t="s">
        <v>51</v>
      </c>
      <c r="G134" s="11" t="s">
        <v>773</v>
      </c>
      <c r="H134" s="12" t="s">
        <v>774</v>
      </c>
      <c r="I134" s="12" t="s">
        <v>775</v>
      </c>
      <c r="J134" s="11"/>
      <c r="K134" s="11"/>
      <c r="L134" s="11"/>
      <c r="M134" s="11"/>
      <c r="N134" s="11"/>
      <c r="O134" s="12" t="s">
        <v>54</v>
      </c>
      <c r="P134" s="11"/>
      <c r="Q134" s="11" t="s">
        <v>73</v>
      </c>
      <c r="R134" s="11" t="n">
        <f aca="false">COUNTA(H134:M134)</f>
        <v>2</v>
      </c>
      <c r="S134" s="11" t="s">
        <v>776</v>
      </c>
      <c r="T134" s="13" t="s">
        <v>777</v>
      </c>
    </row>
    <row r="135" customFormat="false" ht="15" hidden="false" customHeight="false" outlineLevel="0" collapsed="false">
      <c r="A135" s="11" t="n">
        <v>134</v>
      </c>
      <c r="B135" s="11" t="s">
        <v>778</v>
      </c>
      <c r="C135" s="11" t="s">
        <v>13</v>
      </c>
      <c r="D135" s="11" t="s">
        <v>728</v>
      </c>
      <c r="E135" s="11" t="s">
        <v>779</v>
      </c>
      <c r="F135" s="11" t="s">
        <v>51</v>
      </c>
      <c r="G135" s="11" t="s">
        <v>780</v>
      </c>
      <c r="H135" s="11"/>
      <c r="I135" s="11"/>
      <c r="J135" s="11"/>
      <c r="K135" s="11"/>
      <c r="L135" s="11"/>
      <c r="M135" s="11"/>
      <c r="N135" s="11"/>
      <c r="O135" s="12" t="s">
        <v>54</v>
      </c>
      <c r="P135" s="11"/>
      <c r="Q135" s="11" t="s">
        <v>55</v>
      </c>
      <c r="R135" s="11" t="n">
        <f aca="false">COUNTA(H135:M135)</f>
        <v>0</v>
      </c>
      <c r="S135" s="11" t="s">
        <v>781</v>
      </c>
      <c r="T135" s="13" t="s">
        <v>782</v>
      </c>
    </row>
    <row r="136" customFormat="false" ht="15" hidden="false" customHeight="false" outlineLevel="0" collapsed="false">
      <c r="A136" s="11" t="n">
        <v>135</v>
      </c>
      <c r="B136" s="11" t="s">
        <v>783</v>
      </c>
      <c r="C136" s="11" t="s">
        <v>13</v>
      </c>
      <c r="D136" s="11" t="s">
        <v>728</v>
      </c>
      <c r="E136" s="11" t="s">
        <v>784</v>
      </c>
      <c r="F136" s="11" t="s">
        <v>51</v>
      </c>
      <c r="G136" s="11" t="s">
        <v>785</v>
      </c>
      <c r="H136" s="11"/>
      <c r="I136" s="11"/>
      <c r="J136" s="11"/>
      <c r="K136" s="11"/>
      <c r="L136" s="11"/>
      <c r="M136" s="11"/>
      <c r="N136" s="11"/>
      <c r="O136" s="12" t="s">
        <v>54</v>
      </c>
      <c r="P136" s="11"/>
      <c r="Q136" s="11" t="s">
        <v>55</v>
      </c>
      <c r="R136" s="11" t="n">
        <f aca="false">COUNTA(H136:M136)</f>
        <v>0</v>
      </c>
      <c r="S136" s="11"/>
      <c r="T136" s="13" t="s">
        <v>786</v>
      </c>
    </row>
    <row r="137" customFormat="false" ht="15" hidden="false" customHeight="false" outlineLevel="0" collapsed="false">
      <c r="A137" s="11" t="n">
        <v>136</v>
      </c>
      <c r="B137" s="11" t="s">
        <v>787</v>
      </c>
      <c r="C137" s="11" t="s">
        <v>13</v>
      </c>
      <c r="D137" s="11" t="s">
        <v>728</v>
      </c>
      <c r="E137" s="11" t="s">
        <v>788</v>
      </c>
      <c r="F137" s="11" t="s">
        <v>51</v>
      </c>
      <c r="G137" s="11" t="s">
        <v>789</v>
      </c>
      <c r="H137" s="11"/>
      <c r="I137" s="11"/>
      <c r="J137" s="11"/>
      <c r="K137" s="11"/>
      <c r="L137" s="11"/>
      <c r="M137" s="11"/>
      <c r="N137" s="11"/>
      <c r="O137" s="12" t="s">
        <v>54</v>
      </c>
      <c r="P137" s="11"/>
      <c r="Q137" s="11" t="s">
        <v>73</v>
      </c>
      <c r="R137" s="11" t="n">
        <f aca="false">COUNTA(H137:M137)</f>
        <v>0</v>
      </c>
      <c r="S137" s="11" t="s">
        <v>790</v>
      </c>
      <c r="T137" s="13" t="s">
        <v>791</v>
      </c>
    </row>
    <row r="138" customFormat="false" ht="15" hidden="false" customHeight="false" outlineLevel="0" collapsed="false">
      <c r="A138" s="11" t="n">
        <v>137</v>
      </c>
      <c r="B138" s="11" t="s">
        <v>792</v>
      </c>
      <c r="C138" s="11" t="s">
        <v>13</v>
      </c>
      <c r="D138" s="11" t="s">
        <v>728</v>
      </c>
      <c r="E138" s="11"/>
      <c r="F138" s="11" t="s">
        <v>290</v>
      </c>
      <c r="G138" s="11" t="s">
        <v>793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 t="s">
        <v>55</v>
      </c>
      <c r="R138" s="11" t="n">
        <f aca="false">COUNTA(H138:M138)</f>
        <v>0</v>
      </c>
      <c r="S138" s="11" t="s">
        <v>794</v>
      </c>
      <c r="T138" s="13" t="s">
        <v>795</v>
      </c>
    </row>
    <row r="139" customFormat="false" ht="15" hidden="false" customHeight="false" outlineLevel="0" collapsed="false">
      <c r="A139" s="11" t="n">
        <v>138</v>
      </c>
      <c r="B139" s="11" t="s">
        <v>796</v>
      </c>
      <c r="C139" s="11" t="s">
        <v>13</v>
      </c>
      <c r="D139" s="11" t="s">
        <v>728</v>
      </c>
      <c r="E139" s="11" t="s">
        <v>797</v>
      </c>
      <c r="F139" s="11" t="s">
        <v>51</v>
      </c>
      <c r="G139" s="11" t="s">
        <v>798</v>
      </c>
      <c r="H139" s="11"/>
      <c r="I139" s="11"/>
      <c r="J139" s="11"/>
      <c r="K139" s="11"/>
      <c r="L139" s="11"/>
      <c r="M139" s="11"/>
      <c r="N139" s="11"/>
      <c r="O139" s="12" t="s">
        <v>54</v>
      </c>
      <c r="P139" s="11"/>
      <c r="Q139" s="11" t="s">
        <v>55</v>
      </c>
      <c r="R139" s="11" t="n">
        <f aca="false">COUNTA(H139:M139)</f>
        <v>0</v>
      </c>
      <c r="S139" s="11"/>
      <c r="T139" s="13" t="s">
        <v>799</v>
      </c>
    </row>
    <row r="140" customFormat="false" ht="15" hidden="false" customHeight="false" outlineLevel="0" collapsed="false">
      <c r="A140" s="11" t="n">
        <v>139</v>
      </c>
      <c r="B140" s="11" t="s">
        <v>800</v>
      </c>
      <c r="C140" s="11" t="s">
        <v>13</v>
      </c>
      <c r="D140" s="11" t="s">
        <v>728</v>
      </c>
      <c r="E140" s="11" t="s">
        <v>801</v>
      </c>
      <c r="F140" s="11" t="s">
        <v>51</v>
      </c>
      <c r="G140" s="11" t="s">
        <v>802</v>
      </c>
      <c r="H140" s="11"/>
      <c r="I140" s="11"/>
      <c r="J140" s="11"/>
      <c r="K140" s="11"/>
      <c r="L140" s="11"/>
      <c r="M140" s="11"/>
      <c r="N140" s="11"/>
      <c r="O140" s="12" t="s">
        <v>54</v>
      </c>
      <c r="P140" s="11"/>
      <c r="Q140" s="11" t="s">
        <v>55</v>
      </c>
      <c r="R140" s="11" t="n">
        <f aca="false">COUNTA(H140:M140)</f>
        <v>0</v>
      </c>
      <c r="S140" s="11" t="s">
        <v>803</v>
      </c>
      <c r="T140" s="13" t="s">
        <v>804</v>
      </c>
    </row>
    <row r="141" customFormat="false" ht="15" hidden="false" customHeight="false" outlineLevel="0" collapsed="false">
      <c r="A141" s="11" t="n">
        <v>140</v>
      </c>
      <c r="B141" s="11" t="s">
        <v>805</v>
      </c>
      <c r="C141" s="11" t="s">
        <v>13</v>
      </c>
      <c r="D141" s="11" t="s">
        <v>728</v>
      </c>
      <c r="E141" s="11" t="s">
        <v>806</v>
      </c>
      <c r="F141" s="11" t="s">
        <v>290</v>
      </c>
      <c r="G141" s="11" t="s">
        <v>807</v>
      </c>
      <c r="H141" s="11"/>
      <c r="I141" s="12" t="s">
        <v>808</v>
      </c>
      <c r="J141" s="11"/>
      <c r="K141" s="11"/>
      <c r="L141" s="11"/>
      <c r="M141" s="11"/>
      <c r="N141" s="11"/>
      <c r="O141" s="11"/>
      <c r="P141" s="11"/>
      <c r="Q141" s="11" t="s">
        <v>73</v>
      </c>
      <c r="R141" s="11" t="n">
        <f aca="false">COUNTA(H141:M141)</f>
        <v>1</v>
      </c>
      <c r="S141" s="11" t="s">
        <v>809</v>
      </c>
      <c r="T141" s="13" t="s">
        <v>810</v>
      </c>
    </row>
    <row r="142" customFormat="false" ht="15" hidden="false" customHeight="false" outlineLevel="0" collapsed="false">
      <c r="A142" s="11" t="n">
        <v>141</v>
      </c>
      <c r="B142" s="11" t="s">
        <v>811</v>
      </c>
      <c r="C142" s="11" t="s">
        <v>13</v>
      </c>
      <c r="D142" s="11" t="s">
        <v>728</v>
      </c>
      <c r="E142" s="11" t="s">
        <v>812</v>
      </c>
      <c r="F142" s="11" t="s">
        <v>51</v>
      </c>
      <c r="G142" s="11" t="s">
        <v>813</v>
      </c>
      <c r="H142" s="11"/>
      <c r="I142" s="12" t="s">
        <v>814</v>
      </c>
      <c r="J142" s="11"/>
      <c r="K142" s="11"/>
      <c r="L142" s="11"/>
      <c r="M142" s="11"/>
      <c r="N142" s="11"/>
      <c r="O142" s="12" t="s">
        <v>54</v>
      </c>
      <c r="P142" s="11"/>
      <c r="Q142" s="11" t="s">
        <v>55</v>
      </c>
      <c r="R142" s="11" t="n">
        <f aca="false">COUNTA(H142:M142)</f>
        <v>1</v>
      </c>
      <c r="S142" s="11" t="s">
        <v>815</v>
      </c>
      <c r="T142" s="13" t="s">
        <v>816</v>
      </c>
    </row>
    <row r="143" customFormat="false" ht="15" hidden="false" customHeight="false" outlineLevel="0" collapsed="false">
      <c r="A143" s="11" t="n">
        <v>142</v>
      </c>
      <c r="B143" s="11" t="s">
        <v>817</v>
      </c>
      <c r="C143" s="11" t="s">
        <v>13</v>
      </c>
      <c r="D143" s="11" t="s">
        <v>728</v>
      </c>
      <c r="E143" s="11" t="s">
        <v>818</v>
      </c>
      <c r="F143" s="11" t="s">
        <v>51</v>
      </c>
      <c r="G143" s="11" t="s">
        <v>819</v>
      </c>
      <c r="H143" s="11"/>
      <c r="I143" s="11"/>
      <c r="J143" s="12" t="s">
        <v>820</v>
      </c>
      <c r="K143" s="11"/>
      <c r="L143" s="11" t="s">
        <v>821</v>
      </c>
      <c r="M143" s="11"/>
      <c r="N143" s="11"/>
      <c r="O143" s="12" t="s">
        <v>54</v>
      </c>
      <c r="P143" s="11"/>
      <c r="Q143" s="11" t="s">
        <v>73</v>
      </c>
      <c r="R143" s="11" t="n">
        <f aca="false">COUNTA(H143:M143)</f>
        <v>2</v>
      </c>
      <c r="S143" s="11" t="s">
        <v>822</v>
      </c>
      <c r="T143" s="13" t="s">
        <v>823</v>
      </c>
    </row>
    <row r="144" customFormat="false" ht="15" hidden="false" customHeight="false" outlineLevel="0" collapsed="false">
      <c r="A144" s="11" t="n">
        <v>143</v>
      </c>
      <c r="B144" s="11" t="s">
        <v>824</v>
      </c>
      <c r="C144" s="11" t="s">
        <v>13</v>
      </c>
      <c r="D144" s="11" t="s">
        <v>728</v>
      </c>
      <c r="E144" s="11" t="s">
        <v>825</v>
      </c>
      <c r="F144" s="11" t="s">
        <v>51</v>
      </c>
      <c r="G144" s="11" t="s">
        <v>826</v>
      </c>
      <c r="H144" s="11"/>
      <c r="I144" s="12" t="s">
        <v>827</v>
      </c>
      <c r="J144" s="12" t="s">
        <v>828</v>
      </c>
      <c r="K144" s="11"/>
      <c r="L144" s="11"/>
      <c r="M144" s="11"/>
      <c r="N144" s="11"/>
      <c r="O144" s="12" t="s">
        <v>54</v>
      </c>
      <c r="P144" s="11"/>
      <c r="Q144" s="11" t="s">
        <v>73</v>
      </c>
      <c r="R144" s="11" t="n">
        <f aca="false">COUNTA(H144:M144)</f>
        <v>2</v>
      </c>
      <c r="S144" s="11" t="s">
        <v>790</v>
      </c>
      <c r="T144" s="13" t="s">
        <v>829</v>
      </c>
    </row>
    <row r="145" customFormat="false" ht="15" hidden="false" customHeight="false" outlineLevel="0" collapsed="false">
      <c r="A145" s="11" t="n">
        <v>144</v>
      </c>
      <c r="B145" s="11" t="s">
        <v>830</v>
      </c>
      <c r="C145" s="11" t="s">
        <v>13</v>
      </c>
      <c r="D145" s="11" t="s">
        <v>728</v>
      </c>
      <c r="E145" s="11" t="s">
        <v>831</v>
      </c>
      <c r="F145" s="11" t="s">
        <v>122</v>
      </c>
      <c r="G145" s="11" t="s">
        <v>832</v>
      </c>
      <c r="H145" s="12" t="s">
        <v>833</v>
      </c>
      <c r="I145" s="11"/>
      <c r="J145" s="12" t="s">
        <v>834</v>
      </c>
      <c r="K145" s="11"/>
      <c r="L145" s="11"/>
      <c r="M145" s="11"/>
      <c r="N145" s="11" t="s">
        <v>835</v>
      </c>
      <c r="O145" s="12" t="s">
        <v>54</v>
      </c>
      <c r="P145" s="11"/>
      <c r="Q145" s="11" t="s">
        <v>55</v>
      </c>
      <c r="R145" s="11" t="n">
        <f aca="false">COUNTA(H145:M145)</f>
        <v>2</v>
      </c>
      <c r="S145" s="11" t="s">
        <v>836</v>
      </c>
      <c r="T145" s="13" t="s">
        <v>837</v>
      </c>
    </row>
    <row r="146" customFormat="false" ht="15" hidden="false" customHeight="false" outlineLevel="0" collapsed="false">
      <c r="A146" s="11" t="n">
        <v>145</v>
      </c>
      <c r="B146" s="11" t="s">
        <v>838</v>
      </c>
      <c r="C146" s="11" t="s">
        <v>13</v>
      </c>
      <c r="D146" s="11" t="s">
        <v>728</v>
      </c>
      <c r="E146" s="11" t="s">
        <v>839</v>
      </c>
      <c r="F146" s="11" t="s">
        <v>51</v>
      </c>
      <c r="G146" s="11" t="s">
        <v>66</v>
      </c>
      <c r="H146" s="11"/>
      <c r="I146" s="11"/>
      <c r="J146" s="11"/>
      <c r="K146" s="11"/>
      <c r="L146" s="11"/>
      <c r="M146" s="11"/>
      <c r="N146" s="11"/>
      <c r="O146" s="12" t="s">
        <v>54</v>
      </c>
      <c r="P146" s="11"/>
      <c r="Q146" s="11" t="s">
        <v>55</v>
      </c>
      <c r="R146" s="11" t="n">
        <f aca="false">COUNTA(H146:M146)</f>
        <v>0</v>
      </c>
      <c r="S146" s="11"/>
      <c r="T146" s="13" t="s">
        <v>764</v>
      </c>
    </row>
    <row r="147" customFormat="false" ht="15" hidden="false" customHeight="false" outlineLevel="0" collapsed="false">
      <c r="A147" s="11" t="n">
        <v>146</v>
      </c>
      <c r="B147" s="11" t="s">
        <v>840</v>
      </c>
      <c r="C147" s="11" t="s">
        <v>13</v>
      </c>
      <c r="D147" s="11" t="s">
        <v>728</v>
      </c>
      <c r="E147" s="11" t="s">
        <v>841</v>
      </c>
      <c r="F147" s="11" t="s">
        <v>51</v>
      </c>
      <c r="G147" s="11" t="s">
        <v>842</v>
      </c>
      <c r="H147" s="11"/>
      <c r="I147" s="11"/>
      <c r="J147" s="11"/>
      <c r="K147" s="11"/>
      <c r="L147" s="11"/>
      <c r="M147" s="11"/>
      <c r="N147" s="11"/>
      <c r="O147" s="12" t="s">
        <v>54</v>
      </c>
      <c r="P147" s="11"/>
      <c r="Q147" s="11" t="s">
        <v>73</v>
      </c>
      <c r="R147" s="11" t="n">
        <f aca="false">COUNTA(H147:M147)</f>
        <v>0</v>
      </c>
      <c r="S147" s="11" t="s">
        <v>843</v>
      </c>
      <c r="T147" s="13" t="s">
        <v>844</v>
      </c>
    </row>
    <row r="148" customFormat="false" ht="15" hidden="false" customHeight="false" outlineLevel="0" collapsed="false">
      <c r="A148" s="11" t="n">
        <v>147</v>
      </c>
      <c r="B148" s="11" t="s">
        <v>845</v>
      </c>
      <c r="C148" s="11" t="s">
        <v>13</v>
      </c>
      <c r="D148" s="11" t="s">
        <v>728</v>
      </c>
      <c r="E148" s="11" t="s">
        <v>846</v>
      </c>
      <c r="F148" s="11" t="s">
        <v>51</v>
      </c>
      <c r="G148" s="11" t="s">
        <v>847</v>
      </c>
      <c r="H148" s="11"/>
      <c r="I148" s="11"/>
      <c r="J148" s="12" t="s">
        <v>848</v>
      </c>
      <c r="K148" s="11"/>
      <c r="L148" s="11"/>
      <c r="M148" s="11"/>
      <c r="N148" s="11"/>
      <c r="O148" s="12" t="s">
        <v>54</v>
      </c>
      <c r="P148" s="11"/>
      <c r="Q148" s="11" t="s">
        <v>73</v>
      </c>
      <c r="R148" s="11" t="n">
        <f aca="false">COUNTA(H148:M148)</f>
        <v>1</v>
      </c>
      <c r="S148" s="11" t="s">
        <v>849</v>
      </c>
      <c r="T148" s="13" t="s">
        <v>850</v>
      </c>
    </row>
    <row r="149" customFormat="false" ht="15" hidden="false" customHeight="false" outlineLevel="0" collapsed="false">
      <c r="A149" s="11" t="n">
        <v>148</v>
      </c>
      <c r="B149" s="11" t="s">
        <v>851</v>
      </c>
      <c r="C149" s="11" t="s">
        <v>13</v>
      </c>
      <c r="D149" s="11" t="s">
        <v>728</v>
      </c>
      <c r="E149" s="11" t="s">
        <v>852</v>
      </c>
      <c r="F149" s="11" t="s">
        <v>51</v>
      </c>
      <c r="G149" s="11" t="s">
        <v>853</v>
      </c>
      <c r="H149" s="11"/>
      <c r="I149" s="11"/>
      <c r="J149" s="11"/>
      <c r="K149" s="11"/>
      <c r="L149" s="11" t="s">
        <v>854</v>
      </c>
      <c r="M149" s="11"/>
      <c r="N149" s="11"/>
      <c r="O149" s="12" t="s">
        <v>54</v>
      </c>
      <c r="P149" s="11"/>
      <c r="Q149" s="11" t="s">
        <v>73</v>
      </c>
      <c r="R149" s="11" t="n">
        <f aca="false">COUNTA(H149:M149)</f>
        <v>1</v>
      </c>
      <c r="S149" s="11" t="s">
        <v>855</v>
      </c>
      <c r="T149" s="13" t="s">
        <v>856</v>
      </c>
    </row>
    <row r="150" customFormat="false" ht="15" hidden="false" customHeight="false" outlineLevel="0" collapsed="false">
      <c r="A150" s="11" t="n">
        <v>149</v>
      </c>
      <c r="B150" s="11" t="s">
        <v>857</v>
      </c>
      <c r="C150" s="11" t="s">
        <v>13</v>
      </c>
      <c r="D150" s="11" t="s">
        <v>728</v>
      </c>
      <c r="E150" s="11" t="s">
        <v>858</v>
      </c>
      <c r="F150" s="11" t="s">
        <v>156</v>
      </c>
      <c r="G150" s="11" t="s">
        <v>859</v>
      </c>
      <c r="H150" s="11"/>
      <c r="I150" s="11"/>
      <c r="J150" s="11"/>
      <c r="K150" s="11"/>
      <c r="L150" s="11"/>
      <c r="M150" s="11"/>
      <c r="N150" s="11"/>
      <c r="O150" s="12" t="s">
        <v>54</v>
      </c>
      <c r="P150" s="11"/>
      <c r="Q150" s="11" t="s">
        <v>73</v>
      </c>
      <c r="R150" s="11" t="n">
        <f aca="false">COUNTA(H150:M150)</f>
        <v>0</v>
      </c>
      <c r="S150" s="11" t="s">
        <v>860</v>
      </c>
      <c r="T150" s="13" t="s">
        <v>861</v>
      </c>
    </row>
    <row r="151" customFormat="false" ht="15" hidden="false" customHeight="false" outlineLevel="0" collapsed="false">
      <c r="A151" s="11" t="n">
        <v>150</v>
      </c>
      <c r="B151" s="11" t="s">
        <v>862</v>
      </c>
      <c r="C151" s="11" t="s">
        <v>13</v>
      </c>
      <c r="D151" s="11" t="s">
        <v>728</v>
      </c>
      <c r="E151" s="11" t="s">
        <v>863</v>
      </c>
      <c r="F151" s="11" t="s">
        <v>51</v>
      </c>
      <c r="G151" s="11" t="s">
        <v>864</v>
      </c>
      <c r="H151" s="11"/>
      <c r="I151" s="11"/>
      <c r="J151" s="11"/>
      <c r="K151" s="11"/>
      <c r="L151" s="11"/>
      <c r="M151" s="11"/>
      <c r="N151" s="11"/>
      <c r="O151" s="12" t="s">
        <v>54</v>
      </c>
      <c r="P151" s="11"/>
      <c r="Q151" s="11" t="s">
        <v>55</v>
      </c>
      <c r="R151" s="11" t="n">
        <f aca="false">COUNTA(H151:M151)</f>
        <v>0</v>
      </c>
      <c r="S151" s="11"/>
      <c r="T151" s="13" t="s">
        <v>865</v>
      </c>
    </row>
    <row r="152" customFormat="false" ht="15" hidden="false" customHeight="false" outlineLevel="0" collapsed="false">
      <c r="A152" s="11" t="n">
        <v>151</v>
      </c>
      <c r="B152" s="11" t="s">
        <v>866</v>
      </c>
      <c r="C152" s="11" t="s">
        <v>13</v>
      </c>
      <c r="D152" s="11" t="s">
        <v>728</v>
      </c>
      <c r="E152" s="11" t="s">
        <v>867</v>
      </c>
      <c r="F152" s="11" t="s">
        <v>51</v>
      </c>
      <c r="G152" s="11" t="s">
        <v>868</v>
      </c>
      <c r="H152" s="11"/>
      <c r="I152" s="12" t="s">
        <v>869</v>
      </c>
      <c r="J152" s="11"/>
      <c r="K152" s="11"/>
      <c r="L152" s="11"/>
      <c r="M152" s="11"/>
      <c r="N152" s="11"/>
      <c r="O152" s="12" t="s">
        <v>54</v>
      </c>
      <c r="P152" s="11"/>
      <c r="Q152" s="11" t="s">
        <v>55</v>
      </c>
      <c r="R152" s="11" t="n">
        <f aca="false">COUNTA(H152:M152)</f>
        <v>1</v>
      </c>
      <c r="S152" s="11"/>
      <c r="T152" s="13" t="s">
        <v>870</v>
      </c>
    </row>
    <row r="153" customFormat="false" ht="15" hidden="false" customHeight="false" outlineLevel="0" collapsed="false">
      <c r="A153" s="11" t="n">
        <v>152</v>
      </c>
      <c r="B153" s="11" t="s">
        <v>871</v>
      </c>
      <c r="C153" s="11" t="s">
        <v>13</v>
      </c>
      <c r="D153" s="11" t="s">
        <v>728</v>
      </c>
      <c r="E153" s="11" t="s">
        <v>872</v>
      </c>
      <c r="F153" s="11" t="s">
        <v>321</v>
      </c>
      <c r="G153" s="11" t="s">
        <v>873</v>
      </c>
      <c r="H153" s="11"/>
      <c r="I153" s="11"/>
      <c r="J153" s="11"/>
      <c r="K153" s="11"/>
      <c r="L153" s="11"/>
      <c r="M153" s="11"/>
      <c r="N153" s="11"/>
      <c r="O153" s="12" t="s">
        <v>54</v>
      </c>
      <c r="P153" s="11"/>
      <c r="Q153" s="11" t="s">
        <v>73</v>
      </c>
      <c r="R153" s="11" t="n">
        <f aca="false">COUNTA(H153:M153)</f>
        <v>0</v>
      </c>
      <c r="S153" s="11" t="s">
        <v>874</v>
      </c>
      <c r="T153" s="13" t="s">
        <v>875</v>
      </c>
    </row>
    <row r="154" customFormat="false" ht="15" hidden="false" customHeight="false" outlineLevel="0" collapsed="false">
      <c r="A154" s="11" t="n">
        <v>153</v>
      </c>
      <c r="B154" s="11" t="s">
        <v>876</v>
      </c>
      <c r="C154" s="11" t="s">
        <v>13</v>
      </c>
      <c r="D154" s="11" t="s">
        <v>728</v>
      </c>
      <c r="E154" s="11" t="s">
        <v>877</v>
      </c>
      <c r="F154" s="11" t="s">
        <v>122</v>
      </c>
      <c r="G154" s="11" t="s">
        <v>878</v>
      </c>
      <c r="H154" s="11"/>
      <c r="I154" s="12" t="s">
        <v>879</v>
      </c>
      <c r="J154" s="11"/>
      <c r="K154" s="11"/>
      <c r="L154" s="11" t="s">
        <v>880</v>
      </c>
      <c r="M154" s="11"/>
      <c r="N154" s="11"/>
      <c r="O154" s="12" t="s">
        <v>54</v>
      </c>
      <c r="P154" s="11"/>
      <c r="Q154" s="11" t="s">
        <v>73</v>
      </c>
      <c r="R154" s="11" t="n">
        <f aca="false">COUNTA(H154:M154)</f>
        <v>2</v>
      </c>
      <c r="S154" s="11" t="s">
        <v>881</v>
      </c>
      <c r="T154" s="13" t="s">
        <v>882</v>
      </c>
    </row>
    <row r="155" customFormat="false" ht="15" hidden="false" customHeight="false" outlineLevel="0" collapsed="false">
      <c r="A155" s="11" t="n">
        <v>154</v>
      </c>
      <c r="B155" s="11" t="s">
        <v>883</v>
      </c>
      <c r="C155" s="11" t="s">
        <v>13</v>
      </c>
      <c r="D155" s="11" t="s">
        <v>728</v>
      </c>
      <c r="E155" s="11" t="s">
        <v>884</v>
      </c>
      <c r="F155" s="11" t="s">
        <v>51</v>
      </c>
      <c r="G155" s="11" t="s">
        <v>885</v>
      </c>
      <c r="H155" s="11"/>
      <c r="I155" s="12" t="s">
        <v>886</v>
      </c>
      <c r="J155" s="11"/>
      <c r="K155" s="11"/>
      <c r="L155" s="11"/>
      <c r="M155" s="11"/>
      <c r="N155" s="11"/>
      <c r="O155" s="12" t="s">
        <v>54</v>
      </c>
      <c r="P155" s="11"/>
      <c r="Q155" s="11" t="s">
        <v>55</v>
      </c>
      <c r="R155" s="11" t="n">
        <f aca="false">COUNTA(H155:M155)</f>
        <v>1</v>
      </c>
      <c r="S155" s="11"/>
      <c r="T155" s="13" t="s">
        <v>887</v>
      </c>
    </row>
    <row r="156" customFormat="false" ht="15" hidden="false" customHeight="false" outlineLevel="0" collapsed="false">
      <c r="A156" s="11" t="n">
        <v>155</v>
      </c>
      <c r="B156" s="11" t="s">
        <v>888</v>
      </c>
      <c r="C156" s="11" t="s">
        <v>13</v>
      </c>
      <c r="D156" s="11" t="s">
        <v>728</v>
      </c>
      <c r="E156" s="11"/>
      <c r="F156" s="11" t="s">
        <v>389</v>
      </c>
      <c r="G156" s="11" t="s">
        <v>889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 t="s">
        <v>55</v>
      </c>
      <c r="R156" s="11" t="n">
        <f aca="false">COUNTA(H156:M156)</f>
        <v>0</v>
      </c>
      <c r="S156" s="11"/>
      <c r="T156" s="13" t="s">
        <v>764</v>
      </c>
    </row>
    <row r="157" customFormat="false" ht="15" hidden="false" customHeight="false" outlineLevel="0" collapsed="false">
      <c r="A157" s="11" t="n">
        <v>156</v>
      </c>
      <c r="B157" s="11" t="s">
        <v>890</v>
      </c>
      <c r="C157" s="11" t="s">
        <v>13</v>
      </c>
      <c r="D157" s="11" t="s">
        <v>728</v>
      </c>
      <c r="E157" s="11" t="s">
        <v>891</v>
      </c>
      <c r="F157" s="11" t="s">
        <v>51</v>
      </c>
      <c r="G157" s="11" t="s">
        <v>892</v>
      </c>
      <c r="H157" s="11"/>
      <c r="I157" s="11"/>
      <c r="J157" s="12" t="s">
        <v>893</v>
      </c>
      <c r="K157" s="11"/>
      <c r="L157" s="11"/>
      <c r="M157" s="11"/>
      <c r="N157" s="11"/>
      <c r="O157" s="12" t="s">
        <v>54</v>
      </c>
      <c r="P157" s="11"/>
      <c r="Q157" s="11" t="s">
        <v>73</v>
      </c>
      <c r="R157" s="11" t="n">
        <f aca="false">COUNTA(H157:M157)</f>
        <v>1</v>
      </c>
      <c r="S157" s="11" t="s">
        <v>894</v>
      </c>
      <c r="T157" s="13" t="s">
        <v>895</v>
      </c>
    </row>
    <row r="158" customFormat="false" ht="15" hidden="false" customHeight="false" outlineLevel="0" collapsed="false">
      <c r="A158" s="11" t="n">
        <v>157</v>
      </c>
      <c r="B158" s="11" t="s">
        <v>896</v>
      </c>
      <c r="C158" s="11" t="s">
        <v>13</v>
      </c>
      <c r="D158" s="11" t="s">
        <v>728</v>
      </c>
      <c r="E158" s="11" t="s">
        <v>788</v>
      </c>
      <c r="F158" s="11" t="s">
        <v>51</v>
      </c>
      <c r="G158" s="11" t="s">
        <v>66</v>
      </c>
      <c r="H158" s="11"/>
      <c r="I158" s="11"/>
      <c r="J158" s="11"/>
      <c r="K158" s="11"/>
      <c r="L158" s="11"/>
      <c r="M158" s="11"/>
      <c r="N158" s="11"/>
      <c r="O158" s="12" t="s">
        <v>54</v>
      </c>
      <c r="P158" s="11"/>
      <c r="Q158" s="11" t="s">
        <v>55</v>
      </c>
      <c r="R158" s="11" t="n">
        <f aca="false">COUNTA(H158:M158)</f>
        <v>0</v>
      </c>
      <c r="S158" s="11"/>
      <c r="T158" s="13" t="s">
        <v>764</v>
      </c>
    </row>
    <row r="159" customFormat="false" ht="15" hidden="false" customHeight="false" outlineLevel="0" collapsed="false">
      <c r="A159" s="11" t="n">
        <v>158</v>
      </c>
      <c r="B159" s="11" t="s">
        <v>897</v>
      </c>
      <c r="C159" s="11" t="s">
        <v>13</v>
      </c>
      <c r="D159" s="11" t="s">
        <v>728</v>
      </c>
      <c r="E159" s="11" t="s">
        <v>898</v>
      </c>
      <c r="F159" s="11" t="s">
        <v>156</v>
      </c>
      <c r="G159" s="11" t="s">
        <v>899</v>
      </c>
      <c r="H159" s="11"/>
      <c r="I159" s="11"/>
      <c r="J159" s="11"/>
      <c r="K159" s="11"/>
      <c r="L159" s="11"/>
      <c r="M159" s="11"/>
      <c r="N159" s="11"/>
      <c r="O159" s="12" t="s">
        <v>54</v>
      </c>
      <c r="P159" s="11"/>
      <c r="Q159" s="11" t="s">
        <v>55</v>
      </c>
      <c r="R159" s="11" t="n">
        <f aca="false">COUNTA(H159:M159)</f>
        <v>0</v>
      </c>
      <c r="S159" s="11" t="s">
        <v>900</v>
      </c>
      <c r="T159" s="13" t="s">
        <v>901</v>
      </c>
    </row>
    <row r="160" customFormat="false" ht="15" hidden="false" customHeight="false" outlineLevel="0" collapsed="false">
      <c r="A160" s="11" t="n">
        <v>159</v>
      </c>
      <c r="B160" s="11" t="s">
        <v>902</v>
      </c>
      <c r="C160" s="11" t="s">
        <v>13</v>
      </c>
      <c r="D160" s="11" t="s">
        <v>728</v>
      </c>
      <c r="E160" s="11" t="s">
        <v>903</v>
      </c>
      <c r="F160" s="11" t="s">
        <v>51</v>
      </c>
      <c r="G160" s="11" t="s">
        <v>904</v>
      </c>
      <c r="H160" s="11"/>
      <c r="I160" s="11"/>
      <c r="J160" s="11"/>
      <c r="K160" s="11"/>
      <c r="L160" s="11"/>
      <c r="M160" s="11"/>
      <c r="N160" s="11"/>
      <c r="O160" s="12" t="s">
        <v>54</v>
      </c>
      <c r="P160" s="11"/>
      <c r="Q160" s="11" t="s">
        <v>55</v>
      </c>
      <c r="R160" s="11" t="n">
        <f aca="false">COUNTA(H160:M160)</f>
        <v>0</v>
      </c>
      <c r="S160" s="11" t="s">
        <v>905</v>
      </c>
      <c r="T160" s="13" t="s">
        <v>906</v>
      </c>
    </row>
    <row r="161" customFormat="false" ht="15" hidden="false" customHeight="false" outlineLevel="0" collapsed="false">
      <c r="A161" s="11" t="n">
        <v>160</v>
      </c>
      <c r="B161" s="11" t="s">
        <v>907</v>
      </c>
      <c r="C161" s="11" t="s">
        <v>14</v>
      </c>
      <c r="D161" s="11"/>
      <c r="E161" s="11"/>
      <c r="F161" s="11" t="s">
        <v>51</v>
      </c>
      <c r="G161" s="11" t="s">
        <v>908</v>
      </c>
      <c r="H161" s="11"/>
      <c r="I161" s="12" t="s">
        <v>909</v>
      </c>
      <c r="J161" s="11"/>
      <c r="K161" s="11"/>
      <c r="L161" s="11"/>
      <c r="M161" s="11"/>
      <c r="N161" s="11"/>
      <c r="O161" s="12" t="s">
        <v>54</v>
      </c>
      <c r="P161" s="11"/>
      <c r="Q161" s="11" t="s">
        <v>55</v>
      </c>
      <c r="R161" s="11" t="n">
        <f aca="false">COUNTA(H161:M161)</f>
        <v>1</v>
      </c>
      <c r="S161" s="11" t="s">
        <v>910</v>
      </c>
      <c r="T161" s="13" t="s">
        <v>911</v>
      </c>
    </row>
    <row r="162" customFormat="false" ht="15" hidden="false" customHeight="false" outlineLevel="0" collapsed="false">
      <c r="A162" s="11" t="n">
        <v>161</v>
      </c>
      <c r="B162" s="11" t="s">
        <v>912</v>
      </c>
      <c r="C162" s="11" t="s">
        <v>14</v>
      </c>
      <c r="D162" s="11"/>
      <c r="E162" s="11"/>
      <c r="F162" s="11" t="s">
        <v>133</v>
      </c>
      <c r="G162" s="11" t="s">
        <v>913</v>
      </c>
      <c r="H162" s="11"/>
      <c r="I162" s="12" t="s">
        <v>914</v>
      </c>
      <c r="J162" s="11"/>
      <c r="K162" s="11"/>
      <c r="L162" s="11"/>
      <c r="M162" s="11"/>
      <c r="N162" s="11"/>
      <c r="O162" s="11"/>
      <c r="P162" s="11"/>
      <c r="Q162" s="11" t="s">
        <v>55</v>
      </c>
      <c r="R162" s="11" t="n">
        <f aca="false">COUNTA(H162:M162)</f>
        <v>1</v>
      </c>
      <c r="S162" s="11" t="s">
        <v>915</v>
      </c>
      <c r="T162" s="13" t="s">
        <v>916</v>
      </c>
    </row>
    <row r="163" customFormat="false" ht="15" hidden="false" customHeight="false" outlineLevel="0" collapsed="false">
      <c r="A163" s="11" t="n">
        <v>162</v>
      </c>
      <c r="B163" s="11" t="s">
        <v>917</v>
      </c>
      <c r="C163" s="11" t="s">
        <v>14</v>
      </c>
      <c r="D163" s="11"/>
      <c r="E163" s="11"/>
      <c r="F163" s="11" t="s">
        <v>133</v>
      </c>
      <c r="G163" s="11" t="s">
        <v>918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 t="s">
        <v>73</v>
      </c>
      <c r="R163" s="11" t="n">
        <f aca="false">COUNTA(H163:M163)</f>
        <v>0</v>
      </c>
      <c r="S163" s="11" t="s">
        <v>919</v>
      </c>
      <c r="T163" s="13" t="s">
        <v>920</v>
      </c>
    </row>
    <row r="164" customFormat="false" ht="15" hidden="false" customHeight="false" outlineLevel="0" collapsed="false">
      <c r="A164" s="11" t="n">
        <v>163</v>
      </c>
      <c r="B164" s="11" t="s">
        <v>921</v>
      </c>
      <c r="C164" s="11" t="s">
        <v>14</v>
      </c>
      <c r="D164" s="11"/>
      <c r="E164" s="11"/>
      <c r="F164" s="11" t="s">
        <v>122</v>
      </c>
      <c r="G164" s="11" t="s">
        <v>922</v>
      </c>
      <c r="H164" s="11"/>
      <c r="I164" s="12" t="s">
        <v>923</v>
      </c>
      <c r="J164" s="11"/>
      <c r="K164" s="11"/>
      <c r="L164" s="11"/>
      <c r="M164" s="11"/>
      <c r="N164" s="11" t="s">
        <v>924</v>
      </c>
      <c r="O164" s="12" t="s">
        <v>54</v>
      </c>
      <c r="P164" s="11"/>
      <c r="Q164" s="11" t="s">
        <v>55</v>
      </c>
      <c r="R164" s="11" t="n">
        <f aca="false">COUNTA(H164:M164)</f>
        <v>1</v>
      </c>
      <c r="S164" s="11" t="s">
        <v>925</v>
      </c>
      <c r="T164" s="13" t="s">
        <v>926</v>
      </c>
    </row>
    <row r="165" customFormat="false" ht="15" hidden="false" customHeight="false" outlineLevel="0" collapsed="false">
      <c r="A165" s="11" t="n">
        <v>164</v>
      </c>
      <c r="B165" s="11" t="s">
        <v>927</v>
      </c>
      <c r="C165" s="11" t="s">
        <v>14</v>
      </c>
      <c r="D165" s="11" t="s">
        <v>928</v>
      </c>
      <c r="E165" s="11"/>
      <c r="F165" s="11" t="s">
        <v>51</v>
      </c>
      <c r="G165" s="11" t="s">
        <v>66</v>
      </c>
      <c r="H165" s="11"/>
      <c r="I165" s="12" t="s">
        <v>929</v>
      </c>
      <c r="J165" s="11"/>
      <c r="K165" s="11"/>
      <c r="L165" s="11"/>
      <c r="M165" s="11"/>
      <c r="N165" s="11"/>
      <c r="O165" s="12" t="s">
        <v>54</v>
      </c>
      <c r="P165" s="11"/>
      <c r="Q165" s="11" t="s">
        <v>55</v>
      </c>
      <c r="R165" s="11" t="n">
        <f aca="false">COUNTA(H165:M165)</f>
        <v>1</v>
      </c>
      <c r="S165" s="11" t="s">
        <v>930</v>
      </c>
      <c r="T165" s="13" t="s">
        <v>931</v>
      </c>
    </row>
    <row r="166" customFormat="false" ht="15" hidden="false" customHeight="false" outlineLevel="0" collapsed="false">
      <c r="A166" s="11" t="n">
        <v>165</v>
      </c>
      <c r="B166" s="11" t="s">
        <v>932</v>
      </c>
      <c r="C166" s="11" t="s">
        <v>14</v>
      </c>
      <c r="D166" s="11" t="s">
        <v>928</v>
      </c>
      <c r="E166" s="11" t="s">
        <v>933</v>
      </c>
      <c r="F166" s="11" t="s">
        <v>51</v>
      </c>
      <c r="G166" s="11" t="s">
        <v>934</v>
      </c>
      <c r="H166" s="11"/>
      <c r="I166" s="11"/>
      <c r="J166" s="11"/>
      <c r="K166" s="11"/>
      <c r="L166" s="11"/>
      <c r="M166" s="11"/>
      <c r="N166" s="11"/>
      <c r="O166" s="12" t="s">
        <v>54</v>
      </c>
      <c r="P166" s="11"/>
      <c r="Q166" s="11" t="s">
        <v>55</v>
      </c>
      <c r="R166" s="11" t="n">
        <f aca="false">COUNTA(H166:M166)</f>
        <v>0</v>
      </c>
      <c r="S166" s="11" t="s">
        <v>935</v>
      </c>
      <c r="T166" s="13" t="s">
        <v>936</v>
      </c>
    </row>
    <row r="167" customFormat="false" ht="15" hidden="false" customHeight="false" outlineLevel="0" collapsed="false">
      <c r="A167" s="11" t="n">
        <v>166</v>
      </c>
      <c r="B167" s="11" t="s">
        <v>937</v>
      </c>
      <c r="C167" s="11" t="s">
        <v>14</v>
      </c>
      <c r="D167" s="11" t="s">
        <v>938</v>
      </c>
      <c r="E167" s="11" t="s">
        <v>939</v>
      </c>
      <c r="F167" s="11" t="s">
        <v>51</v>
      </c>
      <c r="G167" s="11" t="s">
        <v>940</v>
      </c>
      <c r="H167" s="12" t="s">
        <v>941</v>
      </c>
      <c r="I167" s="11"/>
      <c r="J167" s="11"/>
      <c r="K167" s="11"/>
      <c r="L167" s="11"/>
      <c r="M167" s="11"/>
      <c r="N167" s="11"/>
      <c r="O167" s="12" t="s">
        <v>54</v>
      </c>
      <c r="P167" s="11"/>
      <c r="Q167" s="11" t="s">
        <v>55</v>
      </c>
      <c r="R167" s="11" t="n">
        <f aca="false">COUNTA(H167:M167)</f>
        <v>1</v>
      </c>
      <c r="S167" s="11" t="s">
        <v>942</v>
      </c>
      <c r="T167" s="13" t="s">
        <v>943</v>
      </c>
    </row>
    <row r="168" customFormat="false" ht="15" hidden="false" customHeight="false" outlineLevel="0" collapsed="false">
      <c r="A168" s="11" t="n">
        <v>167</v>
      </c>
      <c r="B168" s="11" t="s">
        <v>944</v>
      </c>
      <c r="C168" s="11" t="s">
        <v>14</v>
      </c>
      <c r="D168" s="11" t="s">
        <v>938</v>
      </c>
      <c r="E168" s="11" t="s">
        <v>945</v>
      </c>
      <c r="F168" s="11" t="s">
        <v>51</v>
      </c>
      <c r="G168" s="11" t="s">
        <v>946</v>
      </c>
      <c r="H168" s="11"/>
      <c r="I168" s="11"/>
      <c r="J168" s="11"/>
      <c r="K168" s="11"/>
      <c r="L168" s="11"/>
      <c r="M168" s="11"/>
      <c r="N168" s="11"/>
      <c r="O168" s="12" t="s">
        <v>54</v>
      </c>
      <c r="P168" s="11"/>
      <c r="Q168" s="11" t="s">
        <v>55</v>
      </c>
      <c r="R168" s="11" t="n">
        <f aca="false">COUNTA(H168:M168)</f>
        <v>0</v>
      </c>
      <c r="S168" s="11" t="s">
        <v>947</v>
      </c>
      <c r="T168" s="13" t="s">
        <v>948</v>
      </c>
    </row>
    <row r="169" customFormat="false" ht="15" hidden="false" customHeight="false" outlineLevel="0" collapsed="false">
      <c r="A169" s="11" t="n">
        <v>168</v>
      </c>
      <c r="B169" s="11" t="s">
        <v>949</v>
      </c>
      <c r="C169" s="11" t="s">
        <v>14</v>
      </c>
      <c r="D169" s="11" t="s">
        <v>938</v>
      </c>
      <c r="E169" s="11"/>
      <c r="F169" s="11" t="s">
        <v>122</v>
      </c>
      <c r="G169" s="11" t="s">
        <v>950</v>
      </c>
      <c r="H169" s="11"/>
      <c r="I169" s="12" t="s">
        <v>951</v>
      </c>
      <c r="J169" s="11"/>
      <c r="K169" s="11"/>
      <c r="L169" s="11"/>
      <c r="M169" s="11"/>
      <c r="N169" s="11"/>
      <c r="O169" s="12" t="s">
        <v>54</v>
      </c>
      <c r="P169" s="11"/>
      <c r="Q169" s="11" t="s">
        <v>55</v>
      </c>
      <c r="R169" s="11" t="n">
        <f aca="false">COUNTA(H169:M169)</f>
        <v>1</v>
      </c>
      <c r="S169" s="11" t="s">
        <v>952</v>
      </c>
      <c r="T169" s="13" t="s">
        <v>953</v>
      </c>
    </row>
    <row r="170" customFormat="false" ht="15" hidden="false" customHeight="false" outlineLevel="0" collapsed="false">
      <c r="A170" s="11" t="n">
        <v>169</v>
      </c>
      <c r="B170" s="11" t="s">
        <v>954</v>
      </c>
      <c r="C170" s="11" t="s">
        <v>14</v>
      </c>
      <c r="D170" s="11" t="s">
        <v>938</v>
      </c>
      <c r="E170" s="11" t="s">
        <v>955</v>
      </c>
      <c r="F170" s="11" t="s">
        <v>51</v>
      </c>
      <c r="G170" s="11" t="s">
        <v>956</v>
      </c>
      <c r="H170" s="11"/>
      <c r="I170" s="11"/>
      <c r="J170" s="11"/>
      <c r="K170" s="11"/>
      <c r="L170" s="11"/>
      <c r="M170" s="11"/>
      <c r="N170" s="11"/>
      <c r="O170" s="12" t="s">
        <v>54</v>
      </c>
      <c r="P170" s="11"/>
      <c r="Q170" s="11" t="s">
        <v>55</v>
      </c>
      <c r="R170" s="11" t="n">
        <f aca="false">COUNTA(H170:M170)</f>
        <v>0</v>
      </c>
      <c r="S170" s="11" t="s">
        <v>957</v>
      </c>
      <c r="T170" s="13" t="s">
        <v>958</v>
      </c>
    </row>
    <row r="171" customFormat="false" ht="15" hidden="false" customHeight="false" outlineLevel="0" collapsed="false">
      <c r="A171" s="11" t="n">
        <v>170</v>
      </c>
      <c r="B171" s="11" t="s">
        <v>959</v>
      </c>
      <c r="C171" s="11" t="s">
        <v>14</v>
      </c>
      <c r="D171" s="11" t="s">
        <v>938</v>
      </c>
      <c r="E171" s="11" t="s">
        <v>960</v>
      </c>
      <c r="F171" s="11" t="s">
        <v>51</v>
      </c>
      <c r="G171" s="11"/>
      <c r="H171" s="11"/>
      <c r="I171" s="11"/>
      <c r="J171" s="11"/>
      <c r="K171" s="11"/>
      <c r="L171" s="11"/>
      <c r="M171" s="11"/>
      <c r="N171" s="11"/>
      <c r="O171" s="12" t="s">
        <v>54</v>
      </c>
      <c r="P171" s="11"/>
      <c r="Q171" s="11" t="s">
        <v>55</v>
      </c>
      <c r="R171" s="11" t="n">
        <f aca="false">COUNTA(H171:M171)</f>
        <v>0</v>
      </c>
      <c r="S171" s="11" t="s">
        <v>961</v>
      </c>
      <c r="T171" s="13" t="s">
        <v>962</v>
      </c>
    </row>
    <row r="172" customFormat="false" ht="15" hidden="false" customHeight="false" outlineLevel="0" collapsed="false">
      <c r="A172" s="11" t="n">
        <v>171</v>
      </c>
      <c r="B172" s="11" t="s">
        <v>963</v>
      </c>
      <c r="C172" s="11" t="s">
        <v>14</v>
      </c>
      <c r="D172" s="11" t="s">
        <v>938</v>
      </c>
      <c r="E172" s="11" t="s">
        <v>964</v>
      </c>
      <c r="F172" s="11" t="s">
        <v>51</v>
      </c>
      <c r="G172" s="11" t="s">
        <v>965</v>
      </c>
      <c r="H172" s="11"/>
      <c r="I172" s="11"/>
      <c r="J172" s="11"/>
      <c r="K172" s="11"/>
      <c r="L172" s="11"/>
      <c r="M172" s="11"/>
      <c r="N172" s="11"/>
      <c r="O172" s="12" t="s">
        <v>54</v>
      </c>
      <c r="P172" s="11"/>
      <c r="Q172" s="11" t="s">
        <v>55</v>
      </c>
      <c r="R172" s="11" t="n">
        <f aca="false">COUNTA(H172:M172)</f>
        <v>0</v>
      </c>
      <c r="S172" s="11" t="s">
        <v>966</v>
      </c>
      <c r="T172" s="13" t="s">
        <v>962</v>
      </c>
    </row>
    <row r="173" customFormat="false" ht="15" hidden="false" customHeight="false" outlineLevel="0" collapsed="false">
      <c r="A173" s="11" t="n">
        <v>172</v>
      </c>
      <c r="B173" s="11" t="s">
        <v>967</v>
      </c>
      <c r="C173" s="11" t="s">
        <v>14</v>
      </c>
      <c r="D173" s="11" t="s">
        <v>938</v>
      </c>
      <c r="E173" s="11" t="s">
        <v>968</v>
      </c>
      <c r="F173" s="11" t="s">
        <v>156</v>
      </c>
      <c r="G173" s="11" t="s">
        <v>969</v>
      </c>
      <c r="H173" s="11"/>
      <c r="I173" s="12" t="s">
        <v>970</v>
      </c>
      <c r="J173" s="11"/>
      <c r="K173" s="11"/>
      <c r="L173" s="11"/>
      <c r="M173" s="11"/>
      <c r="N173" s="11"/>
      <c r="O173" s="12" t="s">
        <v>54</v>
      </c>
      <c r="P173" s="11"/>
      <c r="Q173" s="11" t="s">
        <v>73</v>
      </c>
      <c r="R173" s="11" t="n">
        <f aca="false">COUNTA(H173:M173)</f>
        <v>1</v>
      </c>
      <c r="S173" s="11" t="s">
        <v>971</v>
      </c>
      <c r="T173" s="13" t="s">
        <v>972</v>
      </c>
    </row>
    <row r="174" customFormat="false" ht="15" hidden="false" customHeight="false" outlineLevel="0" collapsed="false">
      <c r="A174" s="11" t="n">
        <v>173</v>
      </c>
      <c r="B174" s="11" t="s">
        <v>973</v>
      </c>
      <c r="C174" s="11" t="s">
        <v>14</v>
      </c>
      <c r="D174" s="11" t="s">
        <v>938</v>
      </c>
      <c r="E174" s="11" t="s">
        <v>974</v>
      </c>
      <c r="F174" s="11" t="s">
        <v>122</v>
      </c>
      <c r="G174" s="11" t="s">
        <v>975</v>
      </c>
      <c r="H174" s="11"/>
      <c r="I174" s="12" t="s">
        <v>976</v>
      </c>
      <c r="J174" s="11"/>
      <c r="K174" s="11"/>
      <c r="L174" s="11"/>
      <c r="M174" s="11"/>
      <c r="N174" s="11"/>
      <c r="O174" s="12" t="s">
        <v>54</v>
      </c>
      <c r="P174" s="11"/>
      <c r="Q174" s="11" t="s">
        <v>55</v>
      </c>
      <c r="R174" s="11" t="n">
        <f aca="false">COUNTA(H174:M174)</f>
        <v>1</v>
      </c>
      <c r="S174" s="11" t="s">
        <v>977</v>
      </c>
      <c r="T174" s="13" t="s">
        <v>978</v>
      </c>
    </row>
    <row r="175" customFormat="false" ht="15" hidden="false" customHeight="false" outlineLevel="0" collapsed="false">
      <c r="A175" s="11" t="n">
        <v>174</v>
      </c>
      <c r="B175" s="11" t="s">
        <v>979</v>
      </c>
      <c r="C175" s="11" t="s">
        <v>14</v>
      </c>
      <c r="D175" s="11" t="s">
        <v>980</v>
      </c>
      <c r="E175" s="11" t="s">
        <v>981</v>
      </c>
      <c r="F175" s="11" t="s">
        <v>51</v>
      </c>
      <c r="G175" s="11" t="s">
        <v>982</v>
      </c>
      <c r="H175" s="11"/>
      <c r="I175" s="12" t="s">
        <v>983</v>
      </c>
      <c r="J175" s="11"/>
      <c r="K175" s="11"/>
      <c r="L175" s="11"/>
      <c r="M175" s="11"/>
      <c r="N175" s="11"/>
      <c r="O175" s="12" t="s">
        <v>54</v>
      </c>
      <c r="P175" s="11"/>
      <c r="Q175" s="11" t="s">
        <v>73</v>
      </c>
      <c r="R175" s="11" t="n">
        <f aca="false">COUNTA(H175:M175)</f>
        <v>1</v>
      </c>
      <c r="S175" s="11" t="s">
        <v>984</v>
      </c>
      <c r="T175" s="13" t="s">
        <v>985</v>
      </c>
    </row>
    <row r="176" customFormat="false" ht="15" hidden="false" customHeight="false" outlineLevel="0" collapsed="false">
      <c r="A176" s="11" t="n">
        <v>175</v>
      </c>
      <c r="B176" s="11" t="s">
        <v>986</v>
      </c>
      <c r="C176" s="11" t="s">
        <v>14</v>
      </c>
      <c r="D176" s="11" t="s">
        <v>980</v>
      </c>
      <c r="E176" s="11"/>
      <c r="F176" s="11" t="s">
        <v>51</v>
      </c>
      <c r="G176" s="11" t="s">
        <v>918</v>
      </c>
      <c r="H176" s="11"/>
      <c r="I176" s="11"/>
      <c r="J176" s="11"/>
      <c r="K176" s="11"/>
      <c r="L176" s="11"/>
      <c r="M176" s="11"/>
      <c r="N176" s="11"/>
      <c r="O176" s="12" t="s">
        <v>54</v>
      </c>
      <c r="P176" s="11"/>
      <c r="Q176" s="11" t="s">
        <v>55</v>
      </c>
      <c r="R176" s="11" t="n">
        <f aca="false">COUNTA(H176:M176)</f>
        <v>0</v>
      </c>
      <c r="S176" s="11" t="s">
        <v>987</v>
      </c>
      <c r="T176" s="13" t="s">
        <v>988</v>
      </c>
    </row>
    <row r="177" customFormat="false" ht="15" hidden="false" customHeight="false" outlineLevel="0" collapsed="false">
      <c r="A177" s="11" t="n">
        <v>176</v>
      </c>
      <c r="B177" s="11" t="s">
        <v>989</v>
      </c>
      <c r="C177" s="11" t="s">
        <v>14</v>
      </c>
      <c r="D177" s="11" t="s">
        <v>980</v>
      </c>
      <c r="E177" s="11" t="s">
        <v>990</v>
      </c>
      <c r="F177" s="11" t="s">
        <v>51</v>
      </c>
      <c r="G177" s="11" t="s">
        <v>991</v>
      </c>
      <c r="H177" s="11"/>
      <c r="I177" s="11"/>
      <c r="J177" s="11"/>
      <c r="K177" s="11"/>
      <c r="L177" s="11"/>
      <c r="M177" s="11"/>
      <c r="N177" s="11"/>
      <c r="O177" s="12" t="s">
        <v>54</v>
      </c>
      <c r="P177" s="11"/>
      <c r="Q177" s="11" t="s">
        <v>55</v>
      </c>
      <c r="R177" s="11" t="n">
        <f aca="false">COUNTA(H177:M177)</f>
        <v>0</v>
      </c>
      <c r="S177" s="11" t="s">
        <v>992</v>
      </c>
      <c r="T177" s="13" t="s">
        <v>993</v>
      </c>
    </row>
    <row r="178" customFormat="false" ht="15" hidden="false" customHeight="false" outlineLevel="0" collapsed="false">
      <c r="A178" s="11" t="n">
        <v>177</v>
      </c>
      <c r="B178" s="11" t="s">
        <v>994</v>
      </c>
      <c r="C178" s="11" t="s">
        <v>14</v>
      </c>
      <c r="D178" s="11" t="s">
        <v>980</v>
      </c>
      <c r="E178" s="11" t="s">
        <v>995</v>
      </c>
      <c r="F178" s="11" t="s">
        <v>122</v>
      </c>
      <c r="G178" s="11" t="s">
        <v>66</v>
      </c>
      <c r="H178" s="11"/>
      <c r="I178" s="12" t="s">
        <v>996</v>
      </c>
      <c r="J178" s="11"/>
      <c r="K178" s="11"/>
      <c r="L178" s="11"/>
      <c r="M178" s="11"/>
      <c r="N178" s="11"/>
      <c r="O178" s="12" t="s">
        <v>54</v>
      </c>
      <c r="P178" s="11"/>
      <c r="Q178" s="11" t="s">
        <v>55</v>
      </c>
      <c r="R178" s="11" t="n">
        <f aca="false">COUNTA(H178:M178)</f>
        <v>1</v>
      </c>
      <c r="S178" s="11" t="s">
        <v>997</v>
      </c>
      <c r="T178" s="13" t="s">
        <v>998</v>
      </c>
    </row>
    <row r="179" customFormat="false" ht="15" hidden="false" customHeight="false" outlineLevel="0" collapsed="false">
      <c r="A179" s="11" t="n">
        <v>178</v>
      </c>
      <c r="B179" s="11" t="s">
        <v>999</v>
      </c>
      <c r="C179" s="11" t="s">
        <v>14</v>
      </c>
      <c r="D179" s="11" t="s">
        <v>980</v>
      </c>
      <c r="E179" s="11" t="s">
        <v>1000</v>
      </c>
      <c r="F179" s="11" t="s">
        <v>51</v>
      </c>
      <c r="G179" s="11" t="s">
        <v>1001</v>
      </c>
      <c r="H179" s="11"/>
      <c r="I179" s="12" t="s">
        <v>1002</v>
      </c>
      <c r="J179" s="11"/>
      <c r="K179" s="11"/>
      <c r="L179" s="11"/>
      <c r="M179" s="11"/>
      <c r="N179" s="11"/>
      <c r="O179" s="12" t="s">
        <v>54</v>
      </c>
      <c r="P179" s="11"/>
      <c r="Q179" s="11" t="s">
        <v>73</v>
      </c>
      <c r="R179" s="11" t="n">
        <f aca="false">COUNTA(H179:M179)</f>
        <v>1</v>
      </c>
      <c r="S179" s="11" t="s">
        <v>1003</v>
      </c>
      <c r="T179" s="13" t="s">
        <v>1004</v>
      </c>
    </row>
    <row r="180" customFormat="false" ht="15" hidden="false" customHeight="false" outlineLevel="0" collapsed="false">
      <c r="A180" s="11" t="n">
        <v>179</v>
      </c>
      <c r="B180" s="11" t="s">
        <v>1005</v>
      </c>
      <c r="C180" s="11" t="s">
        <v>14</v>
      </c>
      <c r="D180" s="11" t="s">
        <v>980</v>
      </c>
      <c r="E180" s="11" t="s">
        <v>1006</v>
      </c>
      <c r="F180" s="11" t="s">
        <v>51</v>
      </c>
      <c r="G180" s="11" t="s">
        <v>1007</v>
      </c>
      <c r="H180" s="11"/>
      <c r="I180" s="11"/>
      <c r="J180" s="11"/>
      <c r="K180" s="11"/>
      <c r="L180" s="11"/>
      <c r="M180" s="11"/>
      <c r="N180" s="11"/>
      <c r="O180" s="12" t="s">
        <v>54</v>
      </c>
      <c r="P180" s="11"/>
      <c r="Q180" s="11" t="s">
        <v>55</v>
      </c>
      <c r="R180" s="11" t="n">
        <f aca="false">COUNTA(H180:M180)</f>
        <v>0</v>
      </c>
      <c r="S180" s="11" t="s">
        <v>1008</v>
      </c>
      <c r="T180" s="13" t="s">
        <v>993</v>
      </c>
    </row>
    <row r="181" customFormat="false" ht="15" hidden="false" customHeight="false" outlineLevel="0" collapsed="false">
      <c r="A181" s="11" t="n">
        <v>180</v>
      </c>
      <c r="B181" s="11" t="s">
        <v>1009</v>
      </c>
      <c r="C181" s="11" t="s">
        <v>14</v>
      </c>
      <c r="D181" s="11" t="s">
        <v>980</v>
      </c>
      <c r="E181" s="11" t="s">
        <v>1010</v>
      </c>
      <c r="F181" s="11" t="s">
        <v>122</v>
      </c>
      <c r="G181" s="11" t="s">
        <v>1011</v>
      </c>
      <c r="H181" s="11"/>
      <c r="I181" s="12" t="s">
        <v>1012</v>
      </c>
      <c r="J181" s="11"/>
      <c r="K181" s="11"/>
      <c r="L181" s="11"/>
      <c r="M181" s="11"/>
      <c r="N181" s="11"/>
      <c r="O181" s="12" t="s">
        <v>54</v>
      </c>
      <c r="P181" s="11"/>
      <c r="Q181" s="11" t="s">
        <v>55</v>
      </c>
      <c r="R181" s="11" t="n">
        <f aca="false">COUNTA(H181:M181)</f>
        <v>1</v>
      </c>
      <c r="S181" s="11" t="s">
        <v>1013</v>
      </c>
      <c r="T181" s="13" t="s">
        <v>1014</v>
      </c>
    </row>
    <row r="182" customFormat="false" ht="15" hidden="false" customHeight="false" outlineLevel="0" collapsed="false">
      <c r="A182" s="11" t="n">
        <v>181</v>
      </c>
      <c r="B182" s="11" t="s">
        <v>1015</v>
      </c>
      <c r="C182" s="11" t="s">
        <v>14</v>
      </c>
      <c r="D182" s="11" t="s">
        <v>980</v>
      </c>
      <c r="E182" s="11"/>
      <c r="F182" s="11" t="s">
        <v>133</v>
      </c>
      <c r="G182" s="11" t="s">
        <v>1016</v>
      </c>
      <c r="H182" s="11"/>
      <c r="I182" s="12" t="s">
        <v>1017</v>
      </c>
      <c r="J182" s="11"/>
      <c r="K182" s="11"/>
      <c r="L182" s="11"/>
      <c r="M182" s="11"/>
      <c r="N182" s="11"/>
      <c r="O182" s="11"/>
      <c r="P182" s="11"/>
      <c r="Q182" s="11" t="s">
        <v>55</v>
      </c>
      <c r="R182" s="11" t="n">
        <f aca="false">COUNTA(H182:M182)</f>
        <v>1</v>
      </c>
      <c r="S182" s="11" t="s">
        <v>1018</v>
      </c>
      <c r="T182" s="13" t="s">
        <v>978</v>
      </c>
    </row>
    <row r="183" customFormat="false" ht="15" hidden="false" customHeight="false" outlineLevel="0" collapsed="false">
      <c r="A183" s="11" t="n">
        <v>182</v>
      </c>
      <c r="B183" s="11" t="s">
        <v>1019</v>
      </c>
      <c r="C183" s="11" t="s">
        <v>14</v>
      </c>
      <c r="D183" s="11" t="s">
        <v>980</v>
      </c>
      <c r="E183" s="11" t="s">
        <v>1020</v>
      </c>
      <c r="F183" s="11" t="s">
        <v>51</v>
      </c>
      <c r="G183" s="11" t="s">
        <v>1021</v>
      </c>
      <c r="H183" s="11"/>
      <c r="I183" s="11"/>
      <c r="J183" s="11"/>
      <c r="K183" s="11"/>
      <c r="L183" s="11"/>
      <c r="M183" s="11"/>
      <c r="N183" s="11"/>
      <c r="O183" s="12" t="s">
        <v>54</v>
      </c>
      <c r="P183" s="11"/>
      <c r="Q183" s="11" t="s">
        <v>55</v>
      </c>
      <c r="R183" s="11" t="n">
        <f aca="false">COUNTA(H183:M183)</f>
        <v>0</v>
      </c>
      <c r="S183" s="11" t="s">
        <v>1022</v>
      </c>
      <c r="T183" s="13" t="s">
        <v>1023</v>
      </c>
    </row>
    <row r="184" customFormat="false" ht="15" hidden="false" customHeight="false" outlineLevel="0" collapsed="false">
      <c r="A184" s="11" t="n">
        <v>183</v>
      </c>
      <c r="B184" s="11" t="s">
        <v>1024</v>
      </c>
      <c r="C184" s="11" t="s">
        <v>14</v>
      </c>
      <c r="D184" s="11" t="s">
        <v>980</v>
      </c>
      <c r="E184" s="11" t="s">
        <v>1025</v>
      </c>
      <c r="F184" s="11" t="s">
        <v>51</v>
      </c>
      <c r="G184" s="11" t="s">
        <v>1026</v>
      </c>
      <c r="H184" s="11"/>
      <c r="I184" s="11"/>
      <c r="J184" s="11"/>
      <c r="K184" s="11"/>
      <c r="L184" s="11"/>
      <c r="M184" s="11"/>
      <c r="N184" s="11"/>
      <c r="O184" s="12" t="s">
        <v>54</v>
      </c>
      <c r="P184" s="11"/>
      <c r="Q184" s="11" t="s">
        <v>73</v>
      </c>
      <c r="R184" s="11" t="n">
        <f aca="false">COUNTA(H184:M184)</f>
        <v>0</v>
      </c>
      <c r="S184" s="11" t="s">
        <v>1027</v>
      </c>
      <c r="T184" s="13" t="s">
        <v>1028</v>
      </c>
    </row>
    <row r="185" customFormat="false" ht="15" hidden="false" customHeight="false" outlineLevel="0" collapsed="false">
      <c r="A185" s="11" t="n">
        <v>184</v>
      </c>
      <c r="B185" s="11" t="s">
        <v>1029</v>
      </c>
      <c r="C185" s="11" t="s">
        <v>14</v>
      </c>
      <c r="D185" s="11" t="s">
        <v>980</v>
      </c>
      <c r="E185" s="11" t="s">
        <v>1030</v>
      </c>
      <c r="F185" s="11" t="s">
        <v>51</v>
      </c>
      <c r="G185" s="11" t="s">
        <v>908</v>
      </c>
      <c r="H185" s="11"/>
      <c r="I185" s="12" t="s">
        <v>1031</v>
      </c>
      <c r="J185" s="11"/>
      <c r="K185" s="11"/>
      <c r="L185" s="11"/>
      <c r="M185" s="11"/>
      <c r="N185" s="11"/>
      <c r="O185" s="12" t="s">
        <v>54</v>
      </c>
      <c r="P185" s="11"/>
      <c r="Q185" s="11" t="s">
        <v>55</v>
      </c>
      <c r="R185" s="11" t="n">
        <f aca="false">COUNTA(H185:M185)</f>
        <v>1</v>
      </c>
      <c r="S185" s="11"/>
      <c r="T185" s="13" t="s">
        <v>1032</v>
      </c>
    </row>
    <row r="186" customFormat="false" ht="15" hidden="false" customHeight="false" outlineLevel="0" collapsed="false">
      <c r="A186" s="11" t="n">
        <v>185</v>
      </c>
      <c r="B186" s="11" t="s">
        <v>1033</v>
      </c>
      <c r="C186" s="11" t="s">
        <v>14</v>
      </c>
      <c r="D186" s="11" t="s">
        <v>980</v>
      </c>
      <c r="E186" s="11" t="s">
        <v>1034</v>
      </c>
      <c r="F186" s="11" t="s">
        <v>51</v>
      </c>
      <c r="G186" s="11" t="s">
        <v>1035</v>
      </c>
      <c r="H186" s="11"/>
      <c r="I186" s="12" t="s">
        <v>1036</v>
      </c>
      <c r="J186" s="11"/>
      <c r="K186" s="11"/>
      <c r="L186" s="11"/>
      <c r="M186" s="11"/>
      <c r="N186" s="11"/>
      <c r="O186" s="12" t="s">
        <v>54</v>
      </c>
      <c r="P186" s="11"/>
      <c r="Q186" s="11" t="s">
        <v>55</v>
      </c>
      <c r="R186" s="11" t="n">
        <f aca="false">COUNTA(H186:M186)</f>
        <v>1</v>
      </c>
      <c r="S186" s="11" t="s">
        <v>1037</v>
      </c>
      <c r="T186" s="13" t="s">
        <v>993</v>
      </c>
    </row>
    <row r="187" customFormat="false" ht="15" hidden="false" customHeight="false" outlineLevel="0" collapsed="false">
      <c r="A187" s="11" t="n">
        <v>186</v>
      </c>
      <c r="B187" s="11" t="s">
        <v>1038</v>
      </c>
      <c r="C187" s="11" t="s">
        <v>14</v>
      </c>
      <c r="D187" s="11" t="s">
        <v>980</v>
      </c>
      <c r="E187" s="11" t="s">
        <v>1039</v>
      </c>
      <c r="F187" s="11" t="s">
        <v>51</v>
      </c>
      <c r="G187" s="11" t="s">
        <v>1040</v>
      </c>
      <c r="H187" s="11"/>
      <c r="I187" s="12" t="s">
        <v>1041</v>
      </c>
      <c r="J187" s="11"/>
      <c r="K187" s="11"/>
      <c r="L187" s="11"/>
      <c r="M187" s="11"/>
      <c r="N187" s="11"/>
      <c r="O187" s="12" t="s">
        <v>54</v>
      </c>
      <c r="P187" s="11"/>
      <c r="Q187" s="11" t="s">
        <v>73</v>
      </c>
      <c r="R187" s="11" t="n">
        <f aca="false">COUNTA(H187:M187)</f>
        <v>1</v>
      </c>
      <c r="S187" s="11" t="s">
        <v>984</v>
      </c>
      <c r="T187" s="13" t="s">
        <v>985</v>
      </c>
    </row>
    <row r="188" customFormat="false" ht="15" hidden="false" customHeight="false" outlineLevel="0" collapsed="false">
      <c r="A188" s="11" t="n">
        <v>187</v>
      </c>
      <c r="B188" s="11" t="s">
        <v>1042</v>
      </c>
      <c r="C188" s="11" t="s">
        <v>14</v>
      </c>
      <c r="D188" s="11" t="s">
        <v>980</v>
      </c>
      <c r="E188" s="11" t="s">
        <v>1043</v>
      </c>
      <c r="F188" s="11" t="s">
        <v>122</v>
      </c>
      <c r="G188" s="11" t="s">
        <v>1044</v>
      </c>
      <c r="H188" s="11"/>
      <c r="I188" s="12" t="s">
        <v>1045</v>
      </c>
      <c r="J188" s="11"/>
      <c r="K188" s="11"/>
      <c r="L188" s="11"/>
      <c r="M188" s="11"/>
      <c r="N188" s="11"/>
      <c r="O188" s="12" t="s">
        <v>54</v>
      </c>
      <c r="P188" s="11"/>
      <c r="Q188" s="11" t="s">
        <v>55</v>
      </c>
      <c r="R188" s="11" t="n">
        <f aca="false">COUNTA(H188:M188)</f>
        <v>1</v>
      </c>
      <c r="S188" s="11" t="s">
        <v>1046</v>
      </c>
      <c r="T188" s="13" t="s">
        <v>1047</v>
      </c>
    </row>
    <row r="189" customFormat="false" ht="15" hidden="false" customHeight="false" outlineLevel="0" collapsed="false">
      <c r="A189" s="11" t="n">
        <v>188</v>
      </c>
      <c r="B189" s="11" t="s">
        <v>1048</v>
      </c>
      <c r="C189" s="11" t="s">
        <v>14</v>
      </c>
      <c r="D189" s="11" t="s">
        <v>980</v>
      </c>
      <c r="E189" s="11"/>
      <c r="F189" s="11" t="s">
        <v>51</v>
      </c>
      <c r="G189" s="11" t="s">
        <v>1049</v>
      </c>
      <c r="H189" s="11"/>
      <c r="I189" s="11"/>
      <c r="J189" s="11"/>
      <c r="K189" s="11"/>
      <c r="L189" s="11"/>
      <c r="M189" s="11"/>
      <c r="N189" s="11"/>
      <c r="O189" s="12" t="s">
        <v>54</v>
      </c>
      <c r="P189" s="11"/>
      <c r="Q189" s="11" t="s">
        <v>73</v>
      </c>
      <c r="R189" s="11" t="n">
        <f aca="false">COUNTA(H189:M189)</f>
        <v>0</v>
      </c>
      <c r="S189" s="11" t="s">
        <v>1050</v>
      </c>
      <c r="T189" s="13" t="s">
        <v>1051</v>
      </c>
    </row>
    <row r="190" customFormat="false" ht="15" hidden="false" customHeight="false" outlineLevel="0" collapsed="false">
      <c r="A190" s="11" t="n">
        <v>189</v>
      </c>
      <c r="B190" s="11" t="s">
        <v>1052</v>
      </c>
      <c r="C190" s="11" t="s">
        <v>14</v>
      </c>
      <c r="D190" s="11" t="s">
        <v>980</v>
      </c>
      <c r="E190" s="11" t="s">
        <v>1053</v>
      </c>
      <c r="F190" s="11" t="s">
        <v>51</v>
      </c>
      <c r="G190" s="11" t="s">
        <v>1054</v>
      </c>
      <c r="H190" s="11"/>
      <c r="I190" s="11"/>
      <c r="J190" s="11"/>
      <c r="K190" s="11"/>
      <c r="L190" s="11"/>
      <c r="M190" s="11"/>
      <c r="N190" s="11"/>
      <c r="O190" s="12" t="s">
        <v>54</v>
      </c>
      <c r="P190" s="11"/>
      <c r="Q190" s="11" t="s">
        <v>55</v>
      </c>
      <c r="R190" s="11" t="n">
        <f aca="false">COUNTA(H190:M190)</f>
        <v>0</v>
      </c>
      <c r="S190" s="11" t="s">
        <v>1055</v>
      </c>
      <c r="T190" s="13" t="s">
        <v>1056</v>
      </c>
    </row>
    <row r="191" customFormat="false" ht="15" hidden="false" customHeight="false" outlineLevel="0" collapsed="false">
      <c r="A191" s="11" t="n">
        <v>190</v>
      </c>
      <c r="B191" s="11" t="s">
        <v>1057</v>
      </c>
      <c r="C191" s="11" t="s">
        <v>14</v>
      </c>
      <c r="D191" s="11" t="s">
        <v>980</v>
      </c>
      <c r="E191" s="11" t="s">
        <v>1058</v>
      </c>
      <c r="F191" s="11" t="s">
        <v>51</v>
      </c>
      <c r="G191" s="11" t="s">
        <v>1059</v>
      </c>
      <c r="H191" s="11"/>
      <c r="I191" s="12" t="s">
        <v>1060</v>
      </c>
      <c r="J191" s="11"/>
      <c r="K191" s="11"/>
      <c r="L191" s="11"/>
      <c r="M191" s="11"/>
      <c r="N191" s="11"/>
      <c r="O191" s="12" t="s">
        <v>54</v>
      </c>
      <c r="P191" s="11"/>
      <c r="Q191" s="11" t="s">
        <v>73</v>
      </c>
      <c r="R191" s="11" t="n">
        <f aca="false">COUNTA(H191:M191)</f>
        <v>1</v>
      </c>
      <c r="S191" s="11" t="s">
        <v>1061</v>
      </c>
      <c r="T191" s="13" t="s">
        <v>1062</v>
      </c>
    </row>
    <row r="192" customFormat="false" ht="15" hidden="false" customHeight="false" outlineLevel="0" collapsed="false">
      <c r="A192" s="11" t="n">
        <v>191</v>
      </c>
      <c r="B192" s="11" t="s">
        <v>1063</v>
      </c>
      <c r="C192" s="11" t="s">
        <v>14</v>
      </c>
      <c r="D192" s="11" t="s">
        <v>980</v>
      </c>
      <c r="E192" s="11" t="s">
        <v>1064</v>
      </c>
      <c r="F192" s="11" t="s">
        <v>51</v>
      </c>
      <c r="G192" s="11" t="s">
        <v>1065</v>
      </c>
      <c r="H192" s="11"/>
      <c r="I192" s="11"/>
      <c r="J192" s="11"/>
      <c r="K192" s="11"/>
      <c r="L192" s="11"/>
      <c r="M192" s="11"/>
      <c r="N192" s="11"/>
      <c r="O192" s="12" t="s">
        <v>54</v>
      </c>
      <c r="P192" s="11"/>
      <c r="Q192" s="11" t="s">
        <v>55</v>
      </c>
      <c r="R192" s="11" t="n">
        <f aca="false">COUNTA(H192:M192)</f>
        <v>0</v>
      </c>
      <c r="S192" s="11"/>
      <c r="T192" s="13" t="s">
        <v>993</v>
      </c>
    </row>
    <row r="193" customFormat="false" ht="15" hidden="false" customHeight="false" outlineLevel="0" collapsed="false">
      <c r="A193" s="11" t="n">
        <v>192</v>
      </c>
      <c r="B193" s="11" t="s">
        <v>1066</v>
      </c>
      <c r="C193" s="11" t="s">
        <v>14</v>
      </c>
      <c r="D193" s="11" t="s">
        <v>980</v>
      </c>
      <c r="E193" s="11" t="s">
        <v>1067</v>
      </c>
      <c r="F193" s="11" t="s">
        <v>51</v>
      </c>
      <c r="G193" s="11" t="s">
        <v>1068</v>
      </c>
      <c r="H193" s="11"/>
      <c r="I193" s="11"/>
      <c r="J193" s="11"/>
      <c r="K193" s="11"/>
      <c r="L193" s="11"/>
      <c r="M193" s="11"/>
      <c r="N193" s="11"/>
      <c r="O193" s="12" t="s">
        <v>54</v>
      </c>
      <c r="P193" s="11"/>
      <c r="Q193" s="11" t="s">
        <v>55</v>
      </c>
      <c r="R193" s="11" t="n">
        <f aca="false">COUNTA(H193:M193)</f>
        <v>0</v>
      </c>
      <c r="S193" s="11" t="s">
        <v>1069</v>
      </c>
      <c r="T193" s="13" t="s">
        <v>993</v>
      </c>
    </row>
    <row r="194" customFormat="false" ht="15" hidden="false" customHeight="false" outlineLevel="0" collapsed="false">
      <c r="A194" s="11" t="n">
        <v>193</v>
      </c>
      <c r="B194" s="11" t="s">
        <v>1070</v>
      </c>
      <c r="C194" s="11" t="s">
        <v>14</v>
      </c>
      <c r="D194" s="11" t="s">
        <v>980</v>
      </c>
      <c r="E194" s="11" t="s">
        <v>1071</v>
      </c>
      <c r="F194" s="11" t="s">
        <v>51</v>
      </c>
      <c r="G194" s="11" t="s">
        <v>1072</v>
      </c>
      <c r="H194" s="11"/>
      <c r="I194" s="11"/>
      <c r="J194" s="11"/>
      <c r="K194" s="11"/>
      <c r="L194" s="11"/>
      <c r="M194" s="11"/>
      <c r="N194" s="11"/>
      <c r="O194" s="12" t="s">
        <v>54</v>
      </c>
      <c r="P194" s="11"/>
      <c r="Q194" s="11" t="s">
        <v>55</v>
      </c>
      <c r="R194" s="11" t="n">
        <f aca="false">COUNTA(H194:M194)</f>
        <v>0</v>
      </c>
      <c r="S194" s="11" t="s">
        <v>1073</v>
      </c>
      <c r="T194" s="13" t="s">
        <v>1074</v>
      </c>
    </row>
    <row r="195" customFormat="false" ht="15" hidden="false" customHeight="false" outlineLevel="0" collapsed="false">
      <c r="A195" s="11" t="n">
        <v>194</v>
      </c>
      <c r="B195" s="11" t="s">
        <v>1075</v>
      </c>
      <c r="C195" s="11" t="s">
        <v>14</v>
      </c>
      <c r="D195" s="11" t="s">
        <v>980</v>
      </c>
      <c r="E195" s="11" t="s">
        <v>1076</v>
      </c>
      <c r="F195" s="11" t="s">
        <v>122</v>
      </c>
      <c r="G195" s="11" t="s">
        <v>1077</v>
      </c>
      <c r="H195" s="12" t="s">
        <v>1078</v>
      </c>
      <c r="I195" s="12" t="s">
        <v>1079</v>
      </c>
      <c r="J195" s="11"/>
      <c r="K195" s="11"/>
      <c r="L195" s="11"/>
      <c r="M195" s="11"/>
      <c r="N195" s="11"/>
      <c r="O195" s="12" t="s">
        <v>54</v>
      </c>
      <c r="P195" s="11"/>
      <c r="Q195" s="11" t="s">
        <v>73</v>
      </c>
      <c r="R195" s="11" t="n">
        <f aca="false">COUNTA(H195:M195)</f>
        <v>2</v>
      </c>
      <c r="S195" s="11" t="s">
        <v>1080</v>
      </c>
      <c r="T195" s="13" t="s">
        <v>1081</v>
      </c>
    </row>
    <row r="196" customFormat="false" ht="15" hidden="false" customHeight="false" outlineLevel="0" collapsed="false">
      <c r="A196" s="11" t="n">
        <v>195</v>
      </c>
      <c r="B196" s="11" t="s">
        <v>1082</v>
      </c>
      <c r="C196" s="11" t="s">
        <v>14</v>
      </c>
      <c r="D196" s="11" t="s">
        <v>980</v>
      </c>
      <c r="E196" s="11"/>
      <c r="F196" s="11" t="s">
        <v>122</v>
      </c>
      <c r="G196" s="11" t="s">
        <v>1083</v>
      </c>
      <c r="H196" s="11"/>
      <c r="I196" s="12" t="s">
        <v>1084</v>
      </c>
      <c r="J196" s="11"/>
      <c r="K196" s="11"/>
      <c r="L196" s="11"/>
      <c r="M196" s="11"/>
      <c r="N196" s="11"/>
      <c r="O196" s="12" t="s">
        <v>54</v>
      </c>
      <c r="P196" s="11"/>
      <c r="Q196" s="11" t="s">
        <v>55</v>
      </c>
      <c r="R196" s="11" t="n">
        <f aca="false">COUNTA(H196:M196)</f>
        <v>1</v>
      </c>
      <c r="S196" s="11" t="s">
        <v>1085</v>
      </c>
      <c r="T196" s="13" t="s">
        <v>1086</v>
      </c>
    </row>
    <row r="197" customFormat="false" ht="15" hidden="false" customHeight="false" outlineLevel="0" collapsed="false">
      <c r="A197" s="11" t="n">
        <v>196</v>
      </c>
      <c r="B197" s="11" t="s">
        <v>1087</v>
      </c>
      <c r="C197" s="11" t="s">
        <v>14</v>
      </c>
      <c r="D197" s="11" t="s">
        <v>980</v>
      </c>
      <c r="E197" s="11"/>
      <c r="F197" s="11" t="s">
        <v>51</v>
      </c>
      <c r="G197" s="11" t="s">
        <v>918</v>
      </c>
      <c r="H197" s="11"/>
      <c r="I197" s="11"/>
      <c r="J197" s="11"/>
      <c r="K197" s="11"/>
      <c r="L197" s="11"/>
      <c r="M197" s="11"/>
      <c r="N197" s="11"/>
      <c r="O197" s="12" t="s">
        <v>54</v>
      </c>
      <c r="P197" s="11"/>
      <c r="Q197" s="11" t="s">
        <v>55</v>
      </c>
      <c r="R197" s="11" t="n">
        <f aca="false">COUNTA(H197:M197)</f>
        <v>0</v>
      </c>
      <c r="S197" s="11" t="s">
        <v>1088</v>
      </c>
      <c r="T197" s="13" t="s">
        <v>993</v>
      </c>
    </row>
    <row r="198" customFormat="false" ht="15" hidden="false" customHeight="false" outlineLevel="0" collapsed="false">
      <c r="A198" s="11" t="n">
        <v>197</v>
      </c>
      <c r="B198" s="11" t="s">
        <v>1089</v>
      </c>
      <c r="C198" s="11" t="s">
        <v>14</v>
      </c>
      <c r="D198" s="11" t="s">
        <v>980</v>
      </c>
      <c r="E198" s="11"/>
      <c r="F198" s="11" t="s">
        <v>51</v>
      </c>
      <c r="G198" s="11" t="s">
        <v>918</v>
      </c>
      <c r="H198" s="11"/>
      <c r="I198" s="11"/>
      <c r="J198" s="11"/>
      <c r="K198" s="11"/>
      <c r="L198" s="11"/>
      <c r="M198" s="11"/>
      <c r="N198" s="11"/>
      <c r="O198" s="12" t="s">
        <v>54</v>
      </c>
      <c r="P198" s="11"/>
      <c r="Q198" s="11" t="s">
        <v>55</v>
      </c>
      <c r="R198" s="11" t="n">
        <f aca="false">COUNTA(H198:M198)</f>
        <v>0</v>
      </c>
      <c r="S198" s="11" t="s">
        <v>1088</v>
      </c>
      <c r="T198" s="13" t="s">
        <v>993</v>
      </c>
    </row>
    <row r="199" customFormat="false" ht="15" hidden="false" customHeight="false" outlineLevel="0" collapsed="false">
      <c r="A199" s="11" t="n">
        <v>198</v>
      </c>
      <c r="B199" s="11" t="s">
        <v>1090</v>
      </c>
      <c r="C199" s="11" t="s">
        <v>14</v>
      </c>
      <c r="D199" s="11" t="s">
        <v>980</v>
      </c>
      <c r="E199" s="11"/>
      <c r="F199" s="11" t="s">
        <v>51</v>
      </c>
      <c r="G199" s="11" t="s">
        <v>1091</v>
      </c>
      <c r="H199" s="11"/>
      <c r="I199" s="11"/>
      <c r="J199" s="11"/>
      <c r="K199" s="11"/>
      <c r="L199" s="11"/>
      <c r="M199" s="11"/>
      <c r="N199" s="11"/>
      <c r="O199" s="12" t="s">
        <v>54</v>
      </c>
      <c r="P199" s="11"/>
      <c r="Q199" s="11" t="s">
        <v>73</v>
      </c>
      <c r="R199" s="11" t="n">
        <f aca="false">COUNTA(H199:M199)</f>
        <v>0</v>
      </c>
      <c r="S199" s="11" t="s">
        <v>1092</v>
      </c>
      <c r="T199" s="13" t="s">
        <v>1093</v>
      </c>
    </row>
    <row r="200" customFormat="false" ht="15" hidden="false" customHeight="false" outlineLevel="0" collapsed="false">
      <c r="A200" s="11" t="n">
        <v>199</v>
      </c>
      <c r="B200" s="11" t="s">
        <v>1094</v>
      </c>
      <c r="C200" s="11" t="s">
        <v>14</v>
      </c>
      <c r="D200" s="11" t="s">
        <v>980</v>
      </c>
      <c r="E200" s="11" t="s">
        <v>1095</v>
      </c>
      <c r="F200" s="11" t="s">
        <v>51</v>
      </c>
      <c r="G200" s="11" t="s">
        <v>66</v>
      </c>
      <c r="H200" s="11"/>
      <c r="I200" s="12" t="s">
        <v>1096</v>
      </c>
      <c r="J200" s="11"/>
      <c r="K200" s="11"/>
      <c r="L200" s="11"/>
      <c r="M200" s="11"/>
      <c r="N200" s="11"/>
      <c r="O200" s="12" t="s">
        <v>54</v>
      </c>
      <c r="P200" s="11"/>
      <c r="Q200" s="11" t="s">
        <v>55</v>
      </c>
      <c r="R200" s="11" t="n">
        <f aca="false">COUNTA(H200:M200)</f>
        <v>1</v>
      </c>
      <c r="S200" s="11" t="s">
        <v>1097</v>
      </c>
      <c r="T200" s="13" t="s">
        <v>1098</v>
      </c>
    </row>
    <row r="201" customFormat="false" ht="15" hidden="false" customHeight="false" outlineLevel="0" collapsed="false">
      <c r="A201" s="11" t="n">
        <v>200</v>
      </c>
      <c r="B201" s="11" t="s">
        <v>1099</v>
      </c>
      <c r="C201" s="11" t="s">
        <v>14</v>
      </c>
      <c r="D201" s="11" t="s">
        <v>980</v>
      </c>
      <c r="E201" s="11"/>
      <c r="F201" s="11" t="s">
        <v>389</v>
      </c>
      <c r="G201" s="11" t="s">
        <v>1100</v>
      </c>
      <c r="H201" s="11"/>
      <c r="I201" s="12" t="s">
        <v>1101</v>
      </c>
      <c r="J201" s="11"/>
      <c r="K201" s="11"/>
      <c r="L201" s="11"/>
      <c r="M201" s="11"/>
      <c r="N201" s="11"/>
      <c r="O201" s="11"/>
      <c r="P201" s="11"/>
      <c r="Q201" s="11" t="s">
        <v>55</v>
      </c>
      <c r="R201" s="11" t="n">
        <f aca="false">COUNTA(H201:M201)</f>
        <v>1</v>
      </c>
      <c r="S201" s="11"/>
      <c r="T201" s="13" t="s">
        <v>1102</v>
      </c>
    </row>
    <row r="202" customFormat="false" ht="15" hidden="false" customHeight="false" outlineLevel="0" collapsed="false">
      <c r="A202" s="11" t="n">
        <v>201</v>
      </c>
      <c r="B202" s="11" t="s">
        <v>1103</v>
      </c>
      <c r="C202" s="11" t="s">
        <v>14</v>
      </c>
      <c r="D202" s="11" t="s">
        <v>980</v>
      </c>
      <c r="E202" s="11"/>
      <c r="F202" s="11" t="s">
        <v>51</v>
      </c>
      <c r="G202" s="11" t="s">
        <v>1104</v>
      </c>
      <c r="H202" s="11"/>
      <c r="I202" s="11"/>
      <c r="J202" s="11"/>
      <c r="K202" s="11"/>
      <c r="L202" s="11"/>
      <c r="M202" s="11"/>
      <c r="N202" s="11"/>
      <c r="O202" s="12" t="s">
        <v>54</v>
      </c>
      <c r="P202" s="11"/>
      <c r="Q202" s="11" t="s">
        <v>55</v>
      </c>
      <c r="R202" s="11" t="n">
        <f aca="false">COUNTA(H202:M202)</f>
        <v>0</v>
      </c>
      <c r="S202" s="11" t="s">
        <v>1105</v>
      </c>
      <c r="T202" s="13" t="s">
        <v>1106</v>
      </c>
    </row>
    <row r="203" customFormat="false" ht="15" hidden="false" customHeight="false" outlineLevel="0" collapsed="false">
      <c r="A203" s="11" t="n">
        <v>202</v>
      </c>
      <c r="B203" s="11" t="s">
        <v>1107</v>
      </c>
      <c r="C203" s="11" t="s">
        <v>14</v>
      </c>
      <c r="D203" s="11" t="s">
        <v>1108</v>
      </c>
      <c r="E203" s="11"/>
      <c r="F203" s="11" t="s">
        <v>290</v>
      </c>
      <c r="G203" s="11" t="s">
        <v>1109</v>
      </c>
      <c r="H203" s="11"/>
      <c r="I203" s="12" t="s">
        <v>1110</v>
      </c>
      <c r="J203" s="11"/>
      <c r="K203" s="11"/>
      <c r="L203" s="11"/>
      <c r="M203" s="11"/>
      <c r="N203" s="11"/>
      <c r="O203" s="11"/>
      <c r="P203" s="11"/>
      <c r="Q203" s="11" t="s">
        <v>55</v>
      </c>
      <c r="R203" s="11" t="n">
        <f aca="false">COUNTA(H203:M203)</f>
        <v>1</v>
      </c>
      <c r="S203" s="11" t="s">
        <v>1111</v>
      </c>
      <c r="T203" s="13" t="s">
        <v>1112</v>
      </c>
    </row>
    <row r="204" customFormat="false" ht="15" hidden="false" customHeight="false" outlineLevel="0" collapsed="false">
      <c r="A204" s="11" t="n">
        <v>203</v>
      </c>
      <c r="B204" s="11" t="s">
        <v>1113</v>
      </c>
      <c r="C204" s="11" t="s">
        <v>14</v>
      </c>
      <c r="D204" s="11" t="s">
        <v>1114</v>
      </c>
      <c r="E204" s="11" t="s">
        <v>1115</v>
      </c>
      <c r="F204" s="11" t="s">
        <v>51</v>
      </c>
      <c r="G204" s="11" t="s">
        <v>1116</v>
      </c>
      <c r="H204" s="11"/>
      <c r="I204" s="12" t="s">
        <v>1117</v>
      </c>
      <c r="J204" s="11"/>
      <c r="K204" s="11"/>
      <c r="L204" s="11"/>
      <c r="M204" s="11"/>
      <c r="N204" s="11"/>
      <c r="O204" s="12" t="s">
        <v>54</v>
      </c>
      <c r="P204" s="11"/>
      <c r="Q204" s="11" t="s">
        <v>55</v>
      </c>
      <c r="R204" s="11" t="n">
        <f aca="false">COUNTA(H204:M204)</f>
        <v>1</v>
      </c>
      <c r="S204" s="11" t="s">
        <v>1118</v>
      </c>
      <c r="T204" s="13" t="s">
        <v>1119</v>
      </c>
    </row>
    <row r="205" customFormat="false" ht="15" hidden="false" customHeight="false" outlineLevel="0" collapsed="false">
      <c r="A205" s="11" t="n">
        <v>204</v>
      </c>
      <c r="B205" s="11" t="s">
        <v>1120</v>
      </c>
      <c r="C205" s="11" t="s">
        <v>14</v>
      </c>
      <c r="D205" s="11" t="s">
        <v>1114</v>
      </c>
      <c r="E205" s="11"/>
      <c r="F205" s="11" t="s">
        <v>452</v>
      </c>
      <c r="G205" s="11" t="s">
        <v>1121</v>
      </c>
      <c r="H205" s="11"/>
      <c r="I205" s="12" t="s">
        <v>1122</v>
      </c>
      <c r="J205" s="11"/>
      <c r="K205" s="11"/>
      <c r="L205" s="11"/>
      <c r="M205" s="11"/>
      <c r="N205" s="11" t="s">
        <v>1123</v>
      </c>
      <c r="O205" s="11"/>
      <c r="P205" s="11"/>
      <c r="Q205" s="11" t="s">
        <v>55</v>
      </c>
      <c r="R205" s="11" t="n">
        <f aca="false">COUNTA(H205:M205)</f>
        <v>1</v>
      </c>
      <c r="S205" s="11" t="s">
        <v>1124</v>
      </c>
      <c r="T205" s="13" t="s">
        <v>1125</v>
      </c>
    </row>
    <row r="206" customFormat="false" ht="15" hidden="false" customHeight="false" outlineLevel="0" collapsed="false">
      <c r="A206" s="11" t="n">
        <v>205</v>
      </c>
      <c r="B206" s="11" t="s">
        <v>1126</v>
      </c>
      <c r="C206" s="11" t="s">
        <v>14</v>
      </c>
      <c r="D206" s="11" t="s">
        <v>1114</v>
      </c>
      <c r="E206" s="11" t="s">
        <v>1127</v>
      </c>
      <c r="F206" s="11" t="s">
        <v>51</v>
      </c>
      <c r="G206" s="11" t="s">
        <v>358</v>
      </c>
      <c r="H206" s="11"/>
      <c r="I206" s="12" t="s">
        <v>1128</v>
      </c>
      <c r="J206" s="11"/>
      <c r="K206" s="11"/>
      <c r="L206" s="11"/>
      <c r="M206" s="11"/>
      <c r="N206" s="11"/>
      <c r="O206" s="12" t="s">
        <v>54</v>
      </c>
      <c r="P206" s="11"/>
      <c r="Q206" s="11" t="s">
        <v>55</v>
      </c>
      <c r="R206" s="11" t="n">
        <f aca="false">COUNTA(H206:M206)</f>
        <v>1</v>
      </c>
      <c r="S206" s="11" t="s">
        <v>1129</v>
      </c>
      <c r="T206" s="13" t="s">
        <v>1130</v>
      </c>
    </row>
    <row r="207" customFormat="false" ht="15" hidden="false" customHeight="false" outlineLevel="0" collapsed="false">
      <c r="A207" s="11" t="n">
        <v>206</v>
      </c>
      <c r="B207" s="11" t="s">
        <v>1131</v>
      </c>
      <c r="C207" s="11" t="s">
        <v>14</v>
      </c>
      <c r="D207" s="11" t="s">
        <v>1132</v>
      </c>
      <c r="E207" s="11"/>
      <c r="F207" s="11" t="s">
        <v>290</v>
      </c>
      <c r="G207" s="11" t="s">
        <v>1133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 t="s">
        <v>73</v>
      </c>
      <c r="R207" s="11" t="n">
        <f aca="false">COUNTA(H207:M207)</f>
        <v>0</v>
      </c>
      <c r="S207" s="11" t="s">
        <v>1050</v>
      </c>
      <c r="T207" s="13" t="s">
        <v>1134</v>
      </c>
    </row>
    <row r="208" customFormat="false" ht="15" hidden="false" customHeight="false" outlineLevel="0" collapsed="false">
      <c r="A208" s="11" t="n">
        <v>207</v>
      </c>
      <c r="B208" s="11" t="s">
        <v>1135</v>
      </c>
      <c r="C208" s="11" t="s">
        <v>14</v>
      </c>
      <c r="D208" s="11" t="s">
        <v>1136</v>
      </c>
      <c r="E208" s="11" t="s">
        <v>1137</v>
      </c>
      <c r="F208" s="11" t="s">
        <v>156</v>
      </c>
      <c r="G208" s="11" t="s">
        <v>66</v>
      </c>
      <c r="H208" s="11"/>
      <c r="I208" s="12" t="s">
        <v>1138</v>
      </c>
      <c r="J208" s="11"/>
      <c r="K208" s="11"/>
      <c r="L208" s="11"/>
      <c r="M208" s="11"/>
      <c r="N208" s="11"/>
      <c r="O208" s="12" t="s">
        <v>54</v>
      </c>
      <c r="P208" s="11"/>
      <c r="Q208" s="11" t="s">
        <v>55</v>
      </c>
      <c r="R208" s="11" t="n">
        <f aca="false">COUNTA(H208:M208)</f>
        <v>1</v>
      </c>
      <c r="S208" s="11" t="s">
        <v>1139</v>
      </c>
      <c r="T208" s="13" t="s">
        <v>1140</v>
      </c>
    </row>
    <row r="209" customFormat="false" ht="15" hidden="false" customHeight="false" outlineLevel="0" collapsed="false">
      <c r="A209" s="11" t="n">
        <v>208</v>
      </c>
      <c r="B209" s="11" t="s">
        <v>1141</v>
      </c>
      <c r="C209" s="11" t="s">
        <v>14</v>
      </c>
      <c r="D209" s="11" t="s">
        <v>1142</v>
      </c>
      <c r="E209" s="11"/>
      <c r="F209" s="11" t="s">
        <v>51</v>
      </c>
      <c r="G209" s="11" t="s">
        <v>1143</v>
      </c>
      <c r="H209" s="11"/>
      <c r="I209" s="11"/>
      <c r="J209" s="11"/>
      <c r="K209" s="11"/>
      <c r="L209" s="11"/>
      <c r="M209" s="11"/>
      <c r="N209" s="11"/>
      <c r="O209" s="12" t="s">
        <v>54</v>
      </c>
      <c r="P209" s="11"/>
      <c r="Q209" s="11" t="s">
        <v>55</v>
      </c>
      <c r="R209" s="11" t="n">
        <f aca="false">COUNTA(H209:M209)</f>
        <v>0</v>
      </c>
      <c r="S209" s="11" t="s">
        <v>1144</v>
      </c>
      <c r="T209" s="13" t="s">
        <v>1145</v>
      </c>
    </row>
    <row r="210" customFormat="false" ht="15" hidden="false" customHeight="false" outlineLevel="0" collapsed="false">
      <c r="A210" s="11" t="n">
        <v>209</v>
      </c>
      <c r="B210" s="11" t="s">
        <v>1146</v>
      </c>
      <c r="C210" s="11" t="s">
        <v>14</v>
      </c>
      <c r="D210" s="11" t="s">
        <v>1142</v>
      </c>
      <c r="E210" s="11" t="s">
        <v>1147</v>
      </c>
      <c r="F210" s="11" t="s">
        <v>51</v>
      </c>
      <c r="G210" s="11" t="s">
        <v>1148</v>
      </c>
      <c r="H210" s="11"/>
      <c r="I210" s="11"/>
      <c r="J210" s="11"/>
      <c r="K210" s="11"/>
      <c r="L210" s="11"/>
      <c r="M210" s="11"/>
      <c r="N210" s="11"/>
      <c r="O210" s="12" t="s">
        <v>54</v>
      </c>
      <c r="P210" s="11"/>
      <c r="Q210" s="11" t="s">
        <v>55</v>
      </c>
      <c r="R210" s="11" t="n">
        <f aca="false">COUNTA(H210:M210)</f>
        <v>0</v>
      </c>
      <c r="S210" s="11" t="s">
        <v>1149</v>
      </c>
      <c r="T210" s="13" t="s">
        <v>1150</v>
      </c>
    </row>
    <row r="211" customFormat="false" ht="15" hidden="false" customHeight="false" outlineLevel="0" collapsed="false">
      <c r="A211" s="11" t="n">
        <v>210</v>
      </c>
      <c r="B211" s="11" t="s">
        <v>1151</v>
      </c>
      <c r="C211" s="11" t="s">
        <v>14</v>
      </c>
      <c r="D211" s="11" t="s">
        <v>1142</v>
      </c>
      <c r="E211" s="11"/>
      <c r="F211" s="11" t="s">
        <v>51</v>
      </c>
      <c r="G211" s="11" t="s">
        <v>1143</v>
      </c>
      <c r="H211" s="11"/>
      <c r="I211" s="11"/>
      <c r="J211" s="11"/>
      <c r="K211" s="11"/>
      <c r="L211" s="11"/>
      <c r="M211" s="11"/>
      <c r="N211" s="11"/>
      <c r="O211" s="12" t="s">
        <v>54</v>
      </c>
      <c r="P211" s="11"/>
      <c r="Q211" s="11" t="s">
        <v>55</v>
      </c>
      <c r="R211" s="11" t="n">
        <f aca="false">COUNTA(H211:M211)</f>
        <v>0</v>
      </c>
      <c r="S211" s="11" t="s">
        <v>1152</v>
      </c>
      <c r="T211" s="13" t="s">
        <v>1153</v>
      </c>
    </row>
    <row r="212" customFormat="false" ht="15" hidden="false" customHeight="false" outlineLevel="0" collapsed="false">
      <c r="A212" s="11" t="n">
        <v>211</v>
      </c>
      <c r="B212" s="11" t="s">
        <v>1154</v>
      </c>
      <c r="C212" s="11" t="s">
        <v>14</v>
      </c>
      <c r="D212" s="11" t="s">
        <v>1142</v>
      </c>
      <c r="E212" s="11"/>
      <c r="F212" s="11" t="s">
        <v>51</v>
      </c>
      <c r="G212" s="11" t="s">
        <v>1155</v>
      </c>
      <c r="H212" s="11"/>
      <c r="I212" s="12" t="s">
        <v>1156</v>
      </c>
      <c r="J212" s="11"/>
      <c r="K212" s="11"/>
      <c r="L212" s="11"/>
      <c r="M212" s="11"/>
      <c r="N212" s="11"/>
      <c r="O212" s="12" t="s">
        <v>54</v>
      </c>
      <c r="P212" s="11"/>
      <c r="Q212" s="11" t="s">
        <v>55</v>
      </c>
      <c r="R212" s="11" t="n">
        <f aca="false">COUNTA(H212:M212)</f>
        <v>1</v>
      </c>
      <c r="S212" s="11" t="s">
        <v>1157</v>
      </c>
      <c r="T212" s="13" t="s">
        <v>1158</v>
      </c>
    </row>
    <row r="213" customFormat="false" ht="15" hidden="false" customHeight="false" outlineLevel="0" collapsed="false">
      <c r="A213" s="11" t="n">
        <v>212</v>
      </c>
      <c r="B213" s="11" t="s">
        <v>1159</v>
      </c>
      <c r="C213" s="11" t="s">
        <v>14</v>
      </c>
      <c r="D213" s="11" t="s">
        <v>1142</v>
      </c>
      <c r="E213" s="11" t="s">
        <v>1160</v>
      </c>
      <c r="F213" s="11" t="s">
        <v>51</v>
      </c>
      <c r="G213" s="11" t="s">
        <v>1161</v>
      </c>
      <c r="H213" s="11"/>
      <c r="I213" s="12" t="s">
        <v>1162</v>
      </c>
      <c r="J213" s="11"/>
      <c r="K213" s="11"/>
      <c r="L213" s="11"/>
      <c r="M213" s="11"/>
      <c r="N213" s="11"/>
      <c r="O213" s="12" t="s">
        <v>54</v>
      </c>
      <c r="P213" s="11"/>
      <c r="Q213" s="11" t="s">
        <v>55</v>
      </c>
      <c r="R213" s="11" t="n">
        <f aca="false">COUNTA(H213:M213)</f>
        <v>1</v>
      </c>
      <c r="S213" s="11" t="s">
        <v>1163</v>
      </c>
      <c r="T213" s="13" t="s">
        <v>1164</v>
      </c>
    </row>
    <row r="214" customFormat="false" ht="15" hidden="false" customHeight="false" outlineLevel="0" collapsed="false">
      <c r="A214" s="11" t="n">
        <v>213</v>
      </c>
      <c r="B214" s="11" t="s">
        <v>1165</v>
      </c>
      <c r="C214" s="11" t="s">
        <v>14</v>
      </c>
      <c r="D214" s="11" t="s">
        <v>1142</v>
      </c>
      <c r="E214" s="11"/>
      <c r="F214" s="11" t="s">
        <v>51</v>
      </c>
      <c r="G214" s="11" t="s">
        <v>1143</v>
      </c>
      <c r="H214" s="11"/>
      <c r="I214" s="11"/>
      <c r="J214" s="11"/>
      <c r="K214" s="11"/>
      <c r="L214" s="11"/>
      <c r="M214" s="11"/>
      <c r="N214" s="11"/>
      <c r="O214" s="12" t="s">
        <v>54</v>
      </c>
      <c r="P214" s="11"/>
      <c r="Q214" s="11" t="s">
        <v>55</v>
      </c>
      <c r="R214" s="11" t="n">
        <f aca="false">COUNTA(H214:M214)</f>
        <v>0</v>
      </c>
      <c r="S214" s="11" t="s">
        <v>1166</v>
      </c>
      <c r="T214" s="13" t="s">
        <v>1167</v>
      </c>
    </row>
    <row r="215" customFormat="false" ht="15" hidden="false" customHeight="false" outlineLevel="0" collapsed="false">
      <c r="A215" s="11" t="n">
        <v>214</v>
      </c>
      <c r="B215" s="11" t="s">
        <v>1168</v>
      </c>
      <c r="C215" s="11" t="s">
        <v>14</v>
      </c>
      <c r="D215" s="11" t="s">
        <v>1142</v>
      </c>
      <c r="E215" s="11"/>
      <c r="F215" s="11" t="s">
        <v>452</v>
      </c>
      <c r="G215" s="11" t="s">
        <v>66</v>
      </c>
      <c r="H215" s="11"/>
      <c r="I215" s="12" t="s">
        <v>1169</v>
      </c>
      <c r="J215" s="11"/>
      <c r="K215" s="11"/>
      <c r="L215" s="11"/>
      <c r="M215" s="11"/>
      <c r="N215" s="11" t="s">
        <v>1123</v>
      </c>
      <c r="O215" s="11"/>
      <c r="P215" s="11"/>
      <c r="Q215" s="11" t="s">
        <v>55</v>
      </c>
      <c r="R215" s="11" t="n">
        <f aca="false">COUNTA(H215:M215)</f>
        <v>1</v>
      </c>
      <c r="S215" s="11" t="s">
        <v>1170</v>
      </c>
      <c r="T215" s="13" t="s">
        <v>1171</v>
      </c>
    </row>
    <row r="216" customFormat="false" ht="15" hidden="false" customHeight="false" outlineLevel="0" collapsed="false">
      <c r="A216" s="11" t="n">
        <v>215</v>
      </c>
      <c r="B216" s="11" t="s">
        <v>1172</v>
      </c>
      <c r="C216" s="11" t="s">
        <v>14</v>
      </c>
      <c r="D216" s="11" t="s">
        <v>1142</v>
      </c>
      <c r="E216" s="11"/>
      <c r="F216" s="11" t="s">
        <v>51</v>
      </c>
      <c r="G216" s="11" t="s">
        <v>1143</v>
      </c>
      <c r="H216" s="11"/>
      <c r="I216" s="11"/>
      <c r="J216" s="11"/>
      <c r="K216" s="11"/>
      <c r="L216" s="11"/>
      <c r="M216" s="11"/>
      <c r="N216" s="11"/>
      <c r="O216" s="12" t="s">
        <v>54</v>
      </c>
      <c r="P216" s="11"/>
      <c r="Q216" s="11" t="s">
        <v>55</v>
      </c>
      <c r="R216" s="11" t="n">
        <f aca="false">COUNTA(H216:M216)</f>
        <v>0</v>
      </c>
      <c r="S216" s="11" t="s">
        <v>1144</v>
      </c>
      <c r="T216" s="13" t="s">
        <v>1145</v>
      </c>
    </row>
  </sheetData>
  <hyperlinks>
    <hyperlink ref="J2" r:id="rId1" display="https://www.facebook.com/1979vinyl"/>
    <hyperlink ref="O2" r:id="rId2" display="Rechercher sur Maps"/>
    <hyperlink ref="T2" r:id="rId3" display="https://bk.asia-city.com/shopping/article/best-shops-buy-vinyl-records-portable-turntables-bangkok-3"/>
    <hyperlink ref="I3" r:id="rId4" display="https://www.instagram.com/242recordsstore"/>
    <hyperlink ref="O3" r:id="rId5" display="Rechercher sur Maps"/>
    <hyperlink ref="T3" r:id="rId6" display="https://www.instagram.com/242recordsstore/"/>
    <hyperlink ref="O4" r:id="rId7" display="Rechercher sur Maps"/>
    <hyperlink ref="T4" r:id="rId8" display="https://www.timeout.com/bangkok/th/music/entertainment-project"/>
    <hyperlink ref="O5" r:id="rId9" display="Rechercher sur Maps"/>
    <hyperlink ref="T5" r:id="rId10" display="https://www.timeout.com/bangkok/shopping/burngkumhouse-records | https://www.bkmagazine.com/arts-culture/where-to-find-bangkoks-best-record-stores-and-vinyl-bars/ | https://www.bkmagazine.com/nightlife/bangkok-bar-club/1979-cafe-and-unknown-pleasures/"/>
    <hyperlink ref="O6" r:id="rId11" display="Rechercher sur Maps"/>
    <hyperlink ref="T6" r:id="rId12" display="https://www.timeout.com/bangkok/th/music/cd-cosmos"/>
    <hyperlink ref="O7" r:id="rId13" display="Rechercher sur Maps"/>
    <hyperlink ref="T7" r:id="rId14" display="https://www.timeout.com/bangkok/music/coconut-records"/>
    <hyperlink ref="O8" r:id="rId15" display="Rechercher sur Maps"/>
    <hyperlink ref="T8" r:id="rId16" display="https://www.timeout.com/bangkok/th/music/dp-music"/>
    <hyperlink ref="O9" r:id="rId17" display="Rechercher sur Maps"/>
    <hyperlink ref="T9" r:id="rId18" display="https://www.timeout.com/bangkok/shopping/fat-black-record | https://www.timeout.com/bangkok/music/best-record-shops-in-bangkok"/>
    <hyperlink ref="O10" r:id="rId19" display="Rechercher sur Maps"/>
    <hyperlink ref="T10" r:id="rId20" display="https://www.timeout.com/bangkok/music/best-record-shops-in-bangkok | https://www.timeout.com/bangkok/things-to-do/paint-vinyl-records-at-format-bkk"/>
    <hyperlink ref="O11" r:id="rId21" display="Rechercher sur Maps"/>
    <hyperlink ref="T11" r:id="rId22" display="https://www.bkmagazine.com/arts-culture/where-to-find-bangkoks-best-record-stores-and-vinyl-bars/"/>
    <hyperlink ref="O12" r:id="rId23" display="Rechercher sur Maps"/>
    <hyperlink ref="T12" r:id="rId24" display="https://www.timeout.com/bangkok/music/get-back-and-jude-records | https://www.timeout.com/bangkok/music/best-record-shops-in-bangkok"/>
    <hyperlink ref="O13" r:id="rId25" display="Rechercher sur Maps"/>
    <hyperlink ref="T13" r:id="rId26" display="https://www.timeout.com/bangkok/shopping/hall-of-fame-records | https://www.timeout.com/bangkok/music/best-record-shops-in-bangkok | https://citynomads.com/8-records-stores-in-bangkok-for-vinyl-music-cassettes-and-cds/"/>
    <hyperlink ref="O14" r:id="rId27" display="Rechercher sur Maps"/>
    <hyperlink ref="T14" r:id="rId28" display="https://www.timeout.com/bangkok/music/have-you-heard-records-entertainment-project | https://www.timeout.com/bangkok/music/best-record-shops-in-bangkok"/>
    <hyperlink ref="I15" r:id="rId29" display="https://www.instagram.com/morericerecords"/>
    <hyperlink ref="O15" r:id="rId30" display="Rechercher sur Maps"/>
    <hyperlink ref="T15" r:id="rId31" display="https://www.instagram.com/morericerecords/ | https://www.instagram.com/morerice.recordstore/ | https://www.bkmagazine.com/arts-culture/where-to-find-bangkoks-best-record-stores-and-vinyl-bars/ | https://thestandard.co/pop-cast-more-rice-record-store-playlist/"/>
    <hyperlink ref="O16" r:id="rId32" display="Rechercher sur Maps"/>
    <hyperlink ref="T16" r:id="rId33" display="https://www.timeout.com/bangkok/music/nong-taprachan | https://www.timeout.com/bangkok/music/best-record-shops-in-bangkok"/>
    <hyperlink ref="I17" r:id="rId34" display="https://www.instagram.com/pprecordsrecords"/>
    <hyperlink ref="T17" r:id="rId35" display="https://www.instagram.com/pprecordsrecords/"/>
    <hyperlink ref="I18" r:id="rId36" display="https://www.instagram.com/recordrecord.th"/>
    <hyperlink ref="O18" r:id="rId37" display="Rechercher sur Maps"/>
    <hyperlink ref="T18" r:id="rId38" display="https://www.instagram.com/recordrecord.th/"/>
    <hyperlink ref="O19" r:id="rId39" display="Rechercher sur Maps"/>
    <hyperlink ref="T19" r:id="rId40" display="https://www.timeout.com/bangkok/shopping/record-shop-raan-pan-sieng | https://www.timeout.com/bangkok/music/best-record-shops-in-bangkok"/>
    <hyperlink ref="I20" r:id="rId41" display="https://www.instagram.com/recordthis_vinyl"/>
    <hyperlink ref="O20" r:id="rId42" display="Rechercher sur Maps"/>
    <hyperlink ref="T20" r:id="rId43" display="https://www.instagram.com/recordthis_vinyl/"/>
    <hyperlink ref="I21" r:id="rId44" display="https://www.instagram.com/recordoffee"/>
    <hyperlink ref="O21" r:id="rId45" display="Rechercher sur Maps"/>
    <hyperlink ref="T21" r:id="rId46" display="https://www.instagram.com/recordoffee/"/>
    <hyperlink ref="O22" r:id="rId47" display="Rechercher sur Maps"/>
    <hyperlink ref="T22" r:id="rId48" display="https://www.timeout.com/bangkok/music/recoroom-vinyl-and-vintage-audio | https://www.timeout.com/bangkok/music/best-record-shops-in-bangkok | https://thevinylfactory.com/features/the-worlds-best-record-shops-147-recoroom-vinyl-vintage-audio-bangkok"/>
    <hyperlink ref="O23" r:id="rId49" display="Rechercher sur Maps"/>
    <hyperlink ref="T23" r:id="rId50" display="https://www.bkmagazine.com/arts-culture/where-to-find-bangkoks-best-record-stores-and-vinyl-bars/ | https://bk.asia-city.com/shopping/article/best-shops-buy-vinyl-records-portable-turntables-bangkok"/>
    <hyperlink ref="O24" r:id="rId51" display="Rechercher sur Maps"/>
    <hyperlink ref="T24" r:id="rId52" display="https://www.bkmagazine.com/arts-culture/where-to-find-bangkoks-best-record-stores-and-vinyl-bars/"/>
    <hyperlink ref="O25" r:id="rId53" display="Rechercher sur Maps"/>
    <hyperlink ref="T25" r:id="rId54" display="https://www.bkmagazine.com/arts-culture/where-to-find-bangkoks-best-record-stores-and-vinyl-bars/ | https://bk.asia-city.com/shopping/article/best-shops-buy-vinyl-records-portable-turntables-bangkok"/>
    <hyperlink ref="O26" r:id="rId55" display="Rechercher sur Maps"/>
    <hyperlink ref="T26" r:id="rId56" display="https://timeout.com/bangkok/shopping/trackaddict-record | https://citynomads.com/8-records-stores-in-bangkok-for-vinyl-music-cassettes-and-cds/"/>
    <hyperlink ref="O27" r:id="rId57" display="Rechercher sur Maps"/>
    <hyperlink ref="T27" r:id="rId58" display="https://www.timeout.com/bangkok/music/vinyl-toys | https://www.thebangkoknavigator.simongrigg.info/"/>
    <hyperlink ref="O28" r:id="rId59" display="Rechercher sur Maps"/>
    <hyperlink ref="T28" r:id="rId60" display="https://www.timeout.com/bangkok/shopping/vinyl-die-hards | https://citynomads.com/8-records-stores-in-bangkok-for-vinyl-music-cassettes-and-cds/"/>
    <hyperlink ref="O29" r:id="rId61" display="Rechercher sur Maps"/>
    <hyperlink ref="T29" r:id="rId62" display="https://bk.asia-city.com/shopping/article/best-shops-buy-vinyl-records-portable-turntables-bangkok | https://www.bkmagazine.com/city-living/shopping-article-best-shops-buy-vinyl-records-portable-turntables-bangkok/"/>
    <hyperlink ref="I30" r:id="rId63" display="https://www.instagram.com/vinyllica_record_fortunetown"/>
    <hyperlink ref="O30" r:id="rId64" display="Rechercher sur Maps"/>
    <hyperlink ref="T30" r:id="rId65" display="https://www.instagram.com/vinyllica_record_fortunetown/ | https://www.bkmagazine.com/arts-culture/where-to-find-bangkoks-best-record-stores-and-vinyl-bars/"/>
    <hyperlink ref="O31" r:id="rId66" display="Rechercher sur Maps"/>
    <hyperlink ref="T31" r:id="rId67" display="https://www.thebangkoknavigator.simongrigg.info/"/>
    <hyperlink ref="O32" r:id="rId68" display="Rechercher sur Maps"/>
    <hyperlink ref="T32" r:id="rId69" display="https://wanderlog.com/place/details/1841365/zudrangma-records | https://www.timeout.com/bangkok/shopping/zudrangma-records | https://citynomads.com/8-records-stores-in-bangkok-for-vinyl-music-cassettes-and-cds/"/>
    <hyperlink ref="O33" r:id="rId70" display="Rechercher sur Maps"/>
    <hyperlink ref="T33" r:id="rId71" display="https://www.timeout.com/chiang-mai/things-to-do/dig-into-rare-grooves-at-the-anglo-siam-record-shop-opening"/>
    <hyperlink ref="O34" r:id="rId72" display="Rechercher sur Maps"/>
    <hyperlink ref="T34" r:id="rId73" display="https://mixmag.asia/read/chiang-mai-first-vinyl-listening-bar-deaf-shop-local | https://cnxmag.beehiiv.com/p/deaf-shop-is-a-vinyl-listening-gem | https://www.timeout.com/chiang-mai/music/chiang-mais-top-11-places-to-dig-for-vinyl"/>
    <hyperlink ref="O35" r:id="rId74" display="Rechercher sur Maps"/>
    <hyperlink ref="T35" r:id="rId75" display="https://www.timeout.com/chiang-mai/music/chiang-mais-top-11-places-to-dig-for-vinyl"/>
    <hyperlink ref="O36" r:id="rId76" display="Rechercher sur Maps"/>
    <hyperlink ref="T36" r:id="rId77" display="https://www.timeout.com/chiang-mai/music/chiang-mais-top-11-places-to-dig-for-vinyl"/>
    <hyperlink ref="O37" r:id="rId78" display="Rechercher sur Maps"/>
    <hyperlink ref="T37" r:id="rId79" display="https://www.timeout.com/chiang-mai/music/noomtaofire-record | https://www.timeout.com/chiang-mai/music/chiang-mais-top-11-places-to-dig-for-vinyl"/>
    <hyperlink ref="O38" r:id="rId80" display="Rechercher sur Maps"/>
    <hyperlink ref="T38" r:id="rId81" display="https://www.timeout.com/chiang-mai/music/thirty-records | https://www.timeout.com/chiang-mai/music/chiang-mais-top-11-places-to-dig-for-vinyl"/>
    <hyperlink ref="O39" r:id="rId82" display="Rechercher sur Maps"/>
    <hyperlink ref="T39" r:id="rId83" display="https://www.timeout.com/chiang-mai/music/wua-lai-record-shop | https://www.timeout.com/chiang-mai/music/chiang-mais-top-11-places-to-dig-for-vinyl | https://www.timeout.com/chiang-mai/news/inside-chiang-mais-vinyl-revival-080125"/>
    <hyperlink ref="I40" r:id="rId84" display="https://www.instagram.com/sabaivinyl"/>
    <hyperlink ref="O40" r:id="rId85" display="Rechercher sur Maps"/>
    <hyperlink ref="T40" r:id="rId86" display="https://www.instagram.com/sabaivinyl/"/>
    <hyperlink ref="H41" r:id="rId87" display="https://anhduyaudio.com"/>
    <hyperlink ref="O41" r:id="rId88" display="Rechercher sur Maps"/>
    <hyperlink ref="T41" r:id="rId89" display="https://mytour.vn/vi/blog/bai-viet/danh-sach-5-dia-chi-mua-dia-than-chat-luong-va-gia-ca-phai-chang-tai-ha-noi.html | https://yellowpages.vn/pdetail/663822/mâm-đĩa-than.html"/>
    <hyperlink ref="H42" r:id="rId90" display="https://giangnhacxua.com"/>
    <hyperlink ref="O42" r:id="rId91" display="Rechercher sur Maps"/>
    <hyperlink ref="T42" r:id="rId92" display="https://theculturetrip.com/asia/vietnam/articles/best-record-stores-in-hanoi | https://mytour.vn/vi/blog/bai-viet/danh-sach-5-dia-chi-mua-dia-than-chat-luong-va-gia-ca-phai-chang-tai-ha-noi.html | https://tripi.vn/blog/vi/xep-hang/top-5-diem-ban-dia-than-chat-luong-nhat-ha-noi-gia-ca-phai-chang-da-dang-mau-ma-tripi | https://dientulinhanh.com/dia-chi-mua-ban-dia-than-gia-re-chinh-hang-tai-ha-noi"/>
    <hyperlink ref="H43" r:id="rId93" display="https://hoanggiaaudio.vn"/>
    <hyperlink ref="O43" r:id="rId94" display="Rechercher sur Maps"/>
    <hyperlink ref="T43" r:id="rId95" display="https://hoanggiaaudio.vn/news/dia-chi-ban-dia-than-chinh-hang-o-ha-noi-a332.html"/>
    <hyperlink ref="O44" r:id="rId96" display="Rechercher sur Maps"/>
    <hyperlink ref="T44" r:id="rId97" display="https://vietcetera.com/en/reintroducing-the-vinyl-culture-to-vietnams-new-generation"/>
    <hyperlink ref="H45" r:id="rId98" display="https://lpclub.vn"/>
    <hyperlink ref="I45" r:id="rId99" display="https://www.instagram.com/lpclubhn"/>
    <hyperlink ref="O45" r:id="rId100" display="Rechercher sur Maps"/>
    <hyperlink ref="T45" r:id="rId101" display="https://silverkris.singaporeair.com/guide/vietnam/han/shop-hanoi/lp-club/ | https://theculturetrip.com/asia/vietnam/articles/best-record-stores-in-hanoi | https://hivelife.com/vinyl-stores-vietnam/ | https://www.instagram.com/lpclubhn/ | https://www.saigoneer.com/hanoi-street-food-restaurants/26571-ngõ-nooks-hanoi-lp-club-vinyl-montauk-cocktail-bar-coffee-shop-review"/>
    <hyperlink ref="J46" r:id="rId102" display="https://www.facebook.com/ruavinyl"/>
    <hyperlink ref="T46" r:id="rId103" display="https://www.facebook.com/ruavinyl/"/>
    <hyperlink ref="J47" r:id="rId104" display="https://www.facebook.com/p/TH%E1%BA%A2O-NH%E1%BA%A0C-X%C6%AFA-100063630708271"/>
    <hyperlink ref="O47" r:id="rId105" display="Rechercher sur Maps"/>
    <hyperlink ref="T47" r:id="rId106" display="https://www.facebook.com/p/TH%E1%BA%A2O-NH%E1%BA%A0C-X%C6%AFA-100063630708271/"/>
    <hyperlink ref="I48" r:id="rId107" display="https://www.instagram.com/totem.vinyl"/>
    <hyperlink ref="J48" r:id="rId108" display="https://www.facebook.com/totem.vinyl"/>
    <hyperlink ref="O48" r:id="rId109" display="Rechercher sur Maps"/>
    <hyperlink ref="T48" r:id="rId110" display="https://www.facebook.com/totem.vinyl/ | https://www.travelweekly.com.au/article/vietnamese-vinyl-vendors-that-any-music-aficionado-needs-to-visit/ | https://theculturetrip.com/asia/vietnam/articles/best-record-stores-in-hanoi | https://www.instagram.com/totem.vinyl/ | https://tripi.vn/blog/vi/xep-hang/top-5-diem-ban-dia-than-chat-luong-nhat-ha-noi-gia-ca-phai-chang-da-dang-mau-ma-tripi"/>
    <hyperlink ref="O49" r:id="rId111" display="Rechercher sur Maps"/>
    <hyperlink ref="T49" r:id="rId112" display="https://theculturetrip.com/asia/vietnam/articles/best-record-stores-in-hanoi"/>
    <hyperlink ref="H50" r:id="rId113" display="https://thienhaaudio.vn"/>
    <hyperlink ref="O50" r:id="rId114" display="Rechercher sur Maps"/>
    <hyperlink ref="T50" r:id="rId115" display="https://vietcetera.com/en/reintroducing-the-vinyl-culture-to-vietnams-new-generation | https://saigoneer.com/saigon-music-art/24963-crate-digging-for-audio-gold-at-the-second-hanoi-records-day | https://mytour.vn/vi/blog/bai-viet/danh-sach-5-dia-chi-mua-dia-than-chat-luong-va-gia-ca-phai-chang-tai-ha-noi.html | https://thienhaaudio.vn/san-pham/dia-lp-nhien/"/>
    <hyperlink ref="H51" r:id="rId116" display="https://dientulinhanh.com"/>
    <hyperlink ref="O51" r:id="rId117" display="Rechercher sur Maps"/>
    <hyperlink ref="T51" r:id="rId118" display="https://dientulinhanh.com/dia-chi-mua-ban-dia-than-gia-re-chinh-hang-tai-ha-noi | https://dientulinhanh.com/dia-than-dia-cd-usb | https://mytour.vn/vi/blog/bai-viet/danh-sach-5-dia-chi-mua-dia-than-chat-luong-va-gia-ca-phai-chang-tai-ha-noi.html"/>
    <hyperlink ref="J52" r:id="rId119" display="https://www.facebook.com/diathanhanoi"/>
    <hyperlink ref="O52" r:id="rId120" display="Rechercher sur Maps"/>
    <hyperlink ref="T52" r:id="rId121" display="https://www.facebook.com/diathanhanoi/"/>
    <hyperlink ref="I53" r:id="rId122" display="https://www.instagram.com/diathan.vintage"/>
    <hyperlink ref="J53" r:id="rId123" display="https://www.facebook.com/diathanvintage"/>
    <hyperlink ref="O53" r:id="rId124" display="Rechercher sur Maps"/>
    <hyperlink ref="T53" r:id="rId125" display="https://www.facebook.com/diathanvintage/ | https://www.trvlogue.com/en/hanoi-vintage-shops-west-lake | https://hivelife.com/vinyl-stores-vietnam/ | https://www.instagram.com/diathan.vintage/ | https://mytour.vn/vi/blog/bai-viet/danh-sach-5-dia-chi-mua-dia-than-chat-luong-va-gia-ca-phai-chang-tai-ha-noi.html"/>
    <hyperlink ref="H54" r:id="rId126" display="https://analogaudio.vn"/>
    <hyperlink ref="O54" r:id="rId127" display="Rechercher sur Maps"/>
    <hyperlink ref="T54" r:id="rId128" display="https://hivelife.com/vinyl-stores-vietnam/ | https://vnav.vn/threads/s%C3%A0i-g%C3%B2n-mua-%C4%91%C4%A9a-than-%E1%BB%9F-%C4%91%C3%A2u.117891/"/>
    <hyperlink ref="T55" r:id="rId129" display="https://vietnamnews.vn/life-style/518863/vinyl-records-make-a-comeback-with-new-albums.html"/>
    <hyperlink ref="O56" r:id="rId130" display="Rechercher sur Maps"/>
    <hyperlink ref="T56" r:id="rId131" display="https://saigoneer.com/saigon-events/27157-vinyl-record-day-bluish-records"/>
    <hyperlink ref="O57" r:id="rId132" display="Rechercher sur Maps"/>
    <hyperlink ref="T57" r:id="rId133" display="https://www.hcmtoplist.com/top-20-dia-chi-ban-dia-cd-goc-tai-tphcm-gia-re-va-chat-luong"/>
    <hyperlink ref="O58" r:id="rId134" display="Rechercher sur Maps"/>
    <hyperlink ref="T58" r:id="rId135" display="https://www.hcmtoplist.com/top-5-dia-chi-ban-dia-than-o-sai-gon-uy-tin-chat-luong"/>
    <hyperlink ref="J59" r:id="rId136" display="https://www.facebook.com/cuahangbandiathanlpvinyl"/>
    <hyperlink ref="O59" r:id="rId137" display="Rechercher sur Maps"/>
    <hyperlink ref="T59" r:id="rId138" display="https://www.facebook.com/cuahangbandiathanlpvinyl/"/>
    <hyperlink ref="O60" r:id="rId139" display="Rechercher sur Maps"/>
    <hyperlink ref="T60" r:id="rId140" display="https://www.travelweekly.com.au/article/vietnamese-vinyl-vendors-that-any-music-aficionado-needs-to-visit/"/>
    <hyperlink ref="H61" r:id="rId141" display="https://store.hangdiathoidai.com"/>
    <hyperlink ref="J61" r:id="rId142" display="https://www.facebook.com/hangdiathoidai"/>
    <hyperlink ref="O61" r:id="rId143" display="Rechercher sur Maps"/>
    <hyperlink ref="T61" r:id="rId144" display="https://hivelife.com/vinyl-stores-vietnam/ | https://www.facebook.com/hangdiathoidai/ | https://www.hcmtoplist.com/top-5-dia-chi-ban-dia-than-o-sai-gon-uy-tin-chat-luong | https://vnav.vn/threads/s%C3%A0i-g%C3%B2n-mua-%C4%91%C4%A9a-than-%E1%BB%9F-%C4%91%C3%A2u.117891/ | https://www.hangdiathoidai.com/about"/>
    <hyperlink ref="O62" r:id="rId145" display="Rechercher sur Maps"/>
    <hyperlink ref="T62" r:id="rId146" display="https://www.hcmtoplist.com/top-5-dia-chi-ban-dia-than-o-sai-gon-uy-tin-chat-luong"/>
    <hyperlink ref="H63" r:id="rId147" display="https://saigonvinylrecords.com"/>
    <hyperlink ref="I63" r:id="rId148" display="https://www.instagram.com/saigon_vinyl_records"/>
    <hyperlink ref="J63" r:id="rId149" display="https://www.facebook.com/saigonvinylrecords"/>
    <hyperlink ref="T63" r:id="rId150" display="https://hivelife.com/vinyl-stores-vietnam/ | https://www.facebook.com/saigonvinylrecords/ | https://www.instagram.com/saigon_vinyl_records/"/>
    <hyperlink ref="T64" r:id="rId151" display="https://saigoneer.com/saigon-events/27157-vinyl-record-day-bluish-records"/>
    <hyperlink ref="J65" r:id="rId152" display="https://www.facebook.com/cafesaigondiathan"/>
    <hyperlink ref="O65" r:id="rId153" display="Rechercher sur Maps"/>
    <hyperlink ref="T65" r:id="rId154" display="https://www.facebook.com/cafesaigondiathan/ | https://vnav.vn/threads/s%C3%A0i-g%C3%B2n-mua-%C4%91%C4%A9a-than-%E1%BB%9F-%C4%91%C3%A2u.117891/"/>
    <hyperlink ref="H66" r:id="rId155" display="https://vinagroove.com"/>
    <hyperlink ref="I66" r:id="rId156" display="https://www.instagram.com/vinagroove.records"/>
    <hyperlink ref="J66" r:id="rId157" display="https://www.facebook.com/vinagroove.records"/>
    <hyperlink ref="O66" r:id="rId158" display="Rechercher sur Maps"/>
    <hyperlink ref="T66" r:id="rId159" display="https://www.facebook.com/vinagroove.records/ | https://www.travelweekly.com.au/article/vietnamese-vinyl-vendors-that-any-music-aficionado-needs-to-visit/ | https://www.instagram.com/vinagroove.records/"/>
    <hyperlink ref="H67" r:id="rId160" display="https://vinylsaigon.vn"/>
    <hyperlink ref="I67" r:id="rId161" display="https://www.instagram.com/vinylsaigon"/>
    <hyperlink ref="J67" r:id="rId162" display="https://www.facebook.com/VinylSaiGon"/>
    <hyperlink ref="O67" r:id="rId163" display="Rechercher sur Maps"/>
    <hyperlink ref="T67" r:id="rId164" display="https://www.facebook.com/VinylSaiGon/ | https://www.instagram.com/vinylsaigon/ | https://vinylsaigon.vn/products/category/dia-than | https://www.hcmtoplist.com/top-5-dia-chi-ban-dia-than-o-sai-gon-uy-tin-chat-luong"/>
    <hyperlink ref="H68" r:id="rId165" display="https://vinyl.vn"/>
    <hyperlink ref="I68" r:id="rId166" display="https://www.instagram.com/vinylviet"/>
    <hyperlink ref="J68" r:id="rId167" display="https://www.facebook.com/vinylviet"/>
    <hyperlink ref="O68" r:id="rId168" display="Rechercher sur Maps"/>
    <hyperlink ref="T68" r:id="rId169" display="https://www.facebook.com/vinylviet/ | https://www.instagram.com/vinylviet/"/>
    <hyperlink ref="O69" r:id="rId170" display="Rechercher sur Maps"/>
    <hyperlink ref="T69" r:id="rId171" display="https://www.hcmtoplist.com/top-20-dia-chi-ban-dia-cd-goc-tai-tphcm-gia-re-va-chat-luong"/>
    <hyperlink ref="H70" r:id="rId172" display="https://vinylrecord51.com"/>
    <hyperlink ref="J70" r:id="rId173" display="https://www.facebook.com/DiaThan51SaiGon"/>
    <hyperlink ref="O70" r:id="rId174" display="Rechercher sur Maps"/>
    <hyperlink ref="T70" r:id="rId175" display="https://www.facebook.com/DiaThan51SaiGon/ | https://vinylrecord51.com/ | https://www.hotdeal.vn/ho-chi-minh/cafe-vn/ca-phe-dia-than-51-sai-gon-noi-ky-uc-tim-ve-369556.html"/>
    <hyperlink ref="H71" r:id="rId176" display="https://diathanmuaoday.com"/>
    <hyperlink ref="O71" r:id="rId177" display="Rechercher sur Maps"/>
    <hyperlink ref="T71" r:id="rId178" display="https://www.hcmtoplist.com/top-5-dia-chi-ban-dia-than-o-sai-gon-uy-tin-chat-luong"/>
    <hyperlink ref="H72" r:id="rId179" display="https://audio.vn/product-category/danh-muc-san-pham/dia-than"/>
    <hyperlink ref="T72" r:id="rId180" display="https://audio.vn/product-category/danh-muc-san-pham/dia-than"/>
    <hyperlink ref="T73" r:id="rId181" display="https://www.discogs.com/seller/manilarecordclub/profile?format=Vinyl"/>
    <hyperlink ref="I74" r:id="rId182" display="https://www.instagram.com/plakadaph"/>
    <hyperlink ref="T74" r:id="rId183" display="https://www.instagram.com/plakadaph/"/>
    <hyperlink ref="T75" r:id="rId184" display="https://www.discogs.com/seller/vivalahvinyls/profile"/>
    <hyperlink ref="I76" r:id="rId185" display="https://www.instagram.com/sunnydayrecords"/>
    <hyperlink ref="O76" r:id="rId186" display="Rechercher sur Maps"/>
    <hyperlink ref="T76" r:id="rId187" display="https://www.instagram.com/sunnydayrecords/"/>
    <hyperlink ref="I77" r:id="rId188" display="https://www.instagram.com/hellofrankierecords"/>
    <hyperlink ref="O77" r:id="rId189" display="Rechercher sur Maps"/>
    <hyperlink ref="T77" r:id="rId190" display="https://www.instagram.com/hellofrankierecords/ | https://www.instagram.com/tokyo_musicclub/"/>
    <hyperlink ref="O78" r:id="rId191" display="Rechercher sur Maps"/>
    <hyperlink ref="T78" r:id="rId192" display="https://wanderlog.com/place/details/1483770/plakafé | https://www.facebook.com/TheVinylCity/"/>
    <hyperlink ref="J79" r:id="rId193" display="https://www.facebook.com/TheVinylCity"/>
    <hyperlink ref="T79" r:id="rId194" display="https://www.facebook.com/TheVinylCity/"/>
    <hyperlink ref="O80" r:id="rId195" display="Rechercher sur Maps"/>
    <hyperlink ref="T80" r:id="rId196" display="https://www.facebook.com/TheVinylCity/"/>
    <hyperlink ref="J81" r:id="rId197" display="https://www.facebook.com/littleritualscebu"/>
    <hyperlink ref="O81" r:id="rId198" display="Rechercher sur Maps"/>
    <hyperlink ref="T81" r:id="rId199" display="https://nivessa.com/record-stores/philippines/central-visayas/cebu-city | https://www.facebook.com/littleritualscebu/ | https://www.facebook.com/PavementRecordsCebu/videos/opm-vinyl-records-available-at-ayala-center-cebu-maze-zone-little-rituals-/2060756574180873/"/>
    <hyperlink ref="J82" r:id="rId200" display="https://www.facebook.com/meltrecordsph"/>
    <hyperlink ref="T82" r:id="rId201" display="https://www.facebook.com/meltrecordsph/"/>
    <hyperlink ref="I83" r:id="rId202" display="https://www.instagram.com/pavementrecordscebu"/>
    <hyperlink ref="J83" r:id="rId203" display="https://www.facebook.com/PavementRecordsCebu"/>
    <hyperlink ref="O83" r:id="rId204" display="Rechercher sur Maps"/>
    <hyperlink ref="T83" r:id="rId205" display="https://www.instagram.com/pavementrecordscebu/ | https://www.facebook.com/PavementRecordsCebu/"/>
    <hyperlink ref="O84" r:id="rId206" display="Rechercher sur Maps"/>
    <hyperlink ref="T84" r:id="rId207" display="https://www.tiktok.com/discover/vinyl-cafe-cebu-menu | https://www.tiktok.com/discover/listening-cafe-vinyl"/>
    <hyperlink ref="O85" r:id="rId208" display="Rechercher sur Maps"/>
    <hyperlink ref="T85" r:id="rId209" display="https://www.tiktok.com/discover/vinyl-cafe-cebu-menu"/>
    <hyperlink ref="J86" r:id="rId210" display="https://www.facebook.com/DabawenyoVinyl"/>
    <hyperlink ref="T86" r:id="rId211" display="https://www.facebook.com/DabawenyoVinyl/"/>
    <hyperlink ref="J87" r:id="rId212" display="https://www.facebook.com/taurusrecordstore"/>
    <hyperlink ref="O87" r:id="rId213" display="Rechercher sur Maps"/>
    <hyperlink ref="T87" r:id="rId214" display="https://www.facebook.com/taurusrecordstore/"/>
    <hyperlink ref="H88" r:id="rId215" display="https://anthology-vinyl.com"/>
    <hyperlink ref="I88" r:id="rId216" display="https://www.instagram.com/anthology.ilo"/>
    <hyperlink ref="J88" r:id="rId217" display="https://www.facebook.com/anthology.ilo"/>
    <hyperlink ref="T88" r:id="rId218" display="https://www.facebook.com/anthology.ilo/ | https://www.instagram.com/anthology.ilo/"/>
    <hyperlink ref="J89" r:id="rId219" display="https://www.facebook.com/vinylrecordsstore"/>
    <hyperlink ref="O89" r:id="rId220" display="Rechercher sur Maps"/>
    <hyperlink ref="T89" r:id="rId221" display="https://www.facebook.com/vinylrecordsstore/"/>
    <hyperlink ref="O90" r:id="rId222" display="Rechercher sur Maps"/>
    <hyperlink ref="T90" r:id="rId223" display="https://www.bandwagon.asia/articles/list-record-stores-in-manila-philippines-vinyl-shopping | https://lifestyleasia-onemega.com/arts-and-culture/7-places-to-buy-vinyl-records-in-manila/ | https://www.discogs.com/forum/thread/714753"/>
    <hyperlink ref="O91" r:id="rId224" display="Rechercher sur Maps"/>
    <hyperlink ref="T91" r:id="rId225" display="https://www.tiktok.com/discover/vinyl-cafe-philippines | https://www.tiktok.com/discover/listening-cafe-vinyl"/>
    <hyperlink ref="O92" r:id="rId226" display="Rechercher sur Maps"/>
    <hyperlink ref="T92" r:id="rId227" display="https://www.bandwagon.asia/articles/list-record-stores-in-manila-philippines-vinyl-shopping | https://news.abs-cbn.com/life/03/22/21/your-guide-to-hunting-for-vinyl-records-in-metro-manila"/>
    <hyperlink ref="I93" r:id="rId228" display="https://www.instagram.com/plakaplanet"/>
    <hyperlink ref="J93" r:id="rId229" display="https://www.facebook.com/PlakaPlanetMakati"/>
    <hyperlink ref="O93" r:id="rId230" display="Rechercher sur Maps"/>
    <hyperlink ref="T93" r:id="rId231" display="https://www.instagram.com/plakaplanet/ | https://www.facebook.com/PlakaPlanetMakati/ | https://wanderlog.com/list/geoCategory/756178/best-gift-and-souvenir-shops-speciality-and-artisan-stores-in-manila"/>
    <hyperlink ref="O94" r:id="rId232" display="Rechercher sur Maps"/>
    <hyperlink ref="T94" r:id="rId233" display="https://thesmartlocal.ph/?p=10840 | https://www.gmanetwork.com/entertainment/showbiznews/record-shops-for-vinyl-collectors-to-visit-in-metro-manila/70384/"/>
    <hyperlink ref="O95" r:id="rId234" display="Rechercher sur Maps"/>
    <hyperlink ref="T95" r:id="rId235" display="https://lifestyleasia-onemega.com/arts-and-culture/7-places-to-buy-vinyl-records-in-manila/ | https://www.crownasia.com.ph/lifestyle-blog/turn-back-the-hands-of-time-best-places-to-buy-vinyl-records-in-the-philippines/ | https://news.abs-cbn.com/life/03/22/21/your-guide-to-hunting-for-vinyl-records-in-metro-manila"/>
    <hyperlink ref="O96" r:id="rId236" display="Rechercher sur Maps"/>
    <hyperlink ref="T96" r:id="rId237" display="https://bandwagon.asia/articles/a-record-store-for-the-discerning-record-collector-thisispop-opens-today | https://news.abs-cbn.com/life/03/22/21/your-guide-to-hunting-for-vinyl-records-in-metro-manila | https://www.crownasia.com.ph/lifestyle-blog/turn-back-the-hands-of-time-best-places-to-buy-vinyl-records-in-the-philippines/ | https://www.tiktok.com/discover/vinyl-cafe-philippines"/>
    <hyperlink ref="O97" r:id="rId238" display="Rechercher sur Maps"/>
    <hyperlink ref="T97" r:id="rId239" display="https://www.bandwagon.asia/articles/list-record-stores-in-manila-philippines-vinyl-shopping | https://lifestyleasia-onemega.com/arts-and-culture/7-places-to-buy-vinyl-records-in-manila/ | https://news.abs-cbn.com/life/03/22/21/your-guide-to-hunting-for-vinyl-records-in-metro-manila"/>
    <hyperlink ref="O98" r:id="rId240" display="Rechercher sur Maps"/>
    <hyperlink ref="T98" r:id="rId241" display="https://www.crownasia.com.ph/lifestyle-blog/turn-back-the-hands-of-time-best-places-to-buy-vinyl-records-in-the-philippines/ | https://www.gmanetwork.com/entertainment/showbiznews/record-shops-for-vinyl-collectors-to-visit-in-metro-manila/70384/ | https://bandwagon.asia/articles/satchmi-record-store-day-2018"/>
    <hyperlink ref="O99" r:id="rId242" display="Rechercher sur Maps"/>
    <hyperlink ref="T99" r:id="rId243" display="https://lifestyleasia-onemega.com/arts-and-culture/7-places-to-buy-vinyl-records-in-manila/ | https://news.abs-cbn.com/life/03/22/21/your-guide-to-hunting-for-vinyl-records-in-metro-manila"/>
    <hyperlink ref="J100" r:id="rId244" display="https://www.facebook.com/vinylcafePH"/>
    <hyperlink ref="T100" r:id="rId245" display="https://www.facebook.com/vinylcafePH/"/>
    <hyperlink ref="I101" r:id="rId246" display="https://www.instagram.com/treskulrecords"/>
    <hyperlink ref="O101" r:id="rId247" display="Rechercher sur Maps"/>
    <hyperlink ref="T101" r:id="rId248" display="https://www.bandwagon.asia/articles/list-record-stores-in-manila-philippines-vinyl-shopping | https://www.gmanetwork.com/entertainment/showbiznews/record-shops-for-vinyl-collectors-to-visit-in-metro-manila/70384/ | https://www.instagram.com/treskulrecords/"/>
    <hyperlink ref="J102" r:id="rId249" display="https://www.facebook.com/ericksvinylrecord"/>
    <hyperlink ref="O102" r:id="rId250" display="Rechercher sur Maps"/>
    <hyperlink ref="T102" r:id="rId251" display="https://www.facebook.com/ericksvinylrecord/"/>
    <hyperlink ref="H103" r:id="rId252" display="https://plakamnl.com"/>
    <hyperlink ref="I103" r:id="rId253" display="https://www.instagram.com/plaka.mnl"/>
    <hyperlink ref="J103" r:id="rId254" display="https://www.facebook.com/p/PlakaMNL-100063774737003"/>
    <hyperlink ref="K103" r:id="rId255" display="https://www.tiktok.com/@plaka.mnl"/>
    <hyperlink ref="O103" r:id="rId256" display="Rechercher sur Maps"/>
    <hyperlink ref="T103" r:id="rId257" display="https://www.instagram.com/plaka.mnl/ | https://www.tiktok.com/@plaka.mnl | https://www.facebook.com/p/PlakaMNL-100063774737003/"/>
    <hyperlink ref="I104" r:id="rId258" display="https://www.instagram.com/traxmanilarecords"/>
    <hyperlink ref="J104" r:id="rId259" display="https://www.facebook.com/pages/Trax-Manila-Records/729614753793551"/>
    <hyperlink ref="O104" r:id="rId260" display="Rechercher sur Maps"/>
    <hyperlink ref="T104" r:id="rId261" display="https://www.instagram.com/traxmanilarecords/ | https://nivessa.com/record-stores/philippines/metro-manila/marikina | https://thesmartlocal.ph/?p=10840"/>
    <hyperlink ref="T105" r:id="rId262" display="https://news.abs-cbn.com/life/03/22/21/your-guide-to-hunting-for-vinyl-records-in-metro-manila"/>
    <hyperlink ref="T106" r:id="rId263" display="https://news.abs-cbn.com/life/03/22/21/your-guide-to-hunting-for-vinyl-records-in-metro-manila"/>
    <hyperlink ref="T107" r:id="rId264" display="https://news.abs-cbn.com/life/03/22/21/your-guide-to-hunting-for-vinyl-records-in-metro-manila"/>
    <hyperlink ref="I108" r:id="rId265" display="https://www.instagram.com/markarvinrecords"/>
    <hyperlink ref="T108" r:id="rId266" display="https://www.instagram.com/markarvinrecords/ | https://news.abs-cbn.com/life/03/22/21/your-guide-to-hunting-for-vinyl-records-in-metro-manila"/>
    <hyperlink ref="T109" r:id="rId267" display="https://news.abs-cbn.com/life/03/22/21/your-guide-to-hunting-for-vinyl-records-in-metro-manila"/>
    <hyperlink ref="T110" r:id="rId268" display="https://news.abs-cbn.com/life/03/22/21/your-guide-to-hunting-for-vinyl-records-in-metro-manila"/>
    <hyperlink ref="T111" r:id="rId269" display="https://news.abs-cbn.com/life/03/22/21/your-guide-to-hunting-for-vinyl-records-in-metro-manila"/>
    <hyperlink ref="J112" r:id="rId270" display="https://www.facebook.com/vinylfields.ph"/>
    <hyperlink ref="T112" r:id="rId271" display="https://www.facebook.com/vinylfields.ph/"/>
    <hyperlink ref="J113" r:id="rId272" display="https://www.facebook.com/blackcirclesbyalice"/>
    <hyperlink ref="O113" r:id="rId273" display="Rechercher sur Maps"/>
    <hyperlink ref="T113" r:id="rId274" display="https://www.crownasia.com.ph/lifestyle-blog/turn-back-the-hands-of-time-best-places-to-buy-vinyl-records-in-the-philippines/ | https://news.abs-cbn.com/life/03/22/21/your-guide-to-hunting-for-vinyl-records-in-metro-manila"/>
    <hyperlink ref="O114" r:id="rId275" display="Rechercher sur Maps"/>
    <hyperlink ref="T114" r:id="rId276" display="https://www.discogs.com/forum/thread/714753"/>
    <hyperlink ref="I115" r:id="rId277" display="https://www.instagram.com/goodvibrationsrecordsph"/>
    <hyperlink ref="O115" r:id="rId278" display="Rechercher sur Maps"/>
    <hyperlink ref="T115" r:id="rId279" display="https://lifestyleasia-onemega.com/arts-and-culture/7-places-to-buy-vinyl-records-in-manila/ | https://www.instagram.com/goodvibrationsrecordsph/ | https://www.instagram.com/goodvibrationsvinylcafeph/ | https://rollingstonephilippines.com/culture/cubao-expo-manila-creative-hub/ | https://www.tiktok.com/@kris.from.brooklyn/video/7437152268174003474"/>
    <hyperlink ref="O116" r:id="rId280" display="Rechercher sur Maps"/>
    <hyperlink ref="T116" r:id="rId281" display="https://www.gmanetwork.com/entertainment/showbiznews/record-shops-for-vinyl-collectors-to-visit-in-metro-manila/70384/ | https://www.crownasia.com.ph/lifestyle-blog/turn-back-the-hands-of-time-best-places-to-buy-vinyl-records-in-the-philippines/"/>
    <hyperlink ref="I117" r:id="rId282" display="https://www.instagram.com/plakaexpress"/>
    <hyperlink ref="J117" r:id="rId283" display="https://www.facebook.com/plakaexpressonline"/>
    <hyperlink ref="O117" r:id="rId284" display="Rechercher sur Maps"/>
    <hyperlink ref="T117" r:id="rId285" display="https://www.facebook.com/plakaexpressonline/ | https://www.instagram.com/plakaexpress/ | https://lifestyleasia-onemega.com/arts-and-culture/7-places-to-buy-vinyl-records-in-manila/ | https://news.abs-cbn.com/life/03/22/21/your-guide-to-hunting-for-vinyl-records-in-metro-manila"/>
    <hyperlink ref="J118" r:id="rId286" display="https://www.facebook.com/rosanorecords"/>
    <hyperlink ref="T118" r:id="rId287" display="https://www.facebook.com/rosanorecords/"/>
    <hyperlink ref="J119" r:id="rId288" display="https://www.facebook.com/TheGreyMarketRecords"/>
    <hyperlink ref="O119" r:id="rId289" display="Rechercher sur Maps"/>
    <hyperlink ref="T119" r:id="rId290" display="https://www.facebook.com/TheGreyMarketRecords/ | https://www.lazada.com.ph/shop/the-grey-market-vinyl-records/?path=index.htm | https://www.crownasia.com.ph/lifestyle-blog/turn-back-the-hands-of-time-best-places-to-buy-vinyl-records-in-the-philippines/ | https://news.abs-cbn.com/life/03/22/21/your-guide-to-hunting-for-vinyl-records-in-metro-manila"/>
    <hyperlink ref="J120" r:id="rId291" display="https://www.facebook.com/thevinyldepotqc"/>
    <hyperlink ref="T120" r:id="rId292" display="https://www.facebook.com/thevinyldepotqc/"/>
    <hyperlink ref="J121" r:id="rId293" display="https://www.facebook.com/Theyynilshop"/>
    <hyperlink ref="T121" r:id="rId294" display="https://www.facebook.com/Theyynilshop"/>
    <hyperlink ref="J122" r:id="rId295" display="https://www.facebook.com/VinylDumpThriftStore"/>
    <hyperlink ref="O122" r:id="rId296" display="Rechercher sur Maps"/>
    <hyperlink ref="T122" r:id="rId297" display="https://www.facebook.com/VinylDumpThriftStore/ | https://www.facebook.com/Vinyldumpstore/ | https://www.gmanetwork.com/entertainment/showbiznews/record-shops-for-vinyl-collectors-to-visit-in-metro-manila/70384/ | https://www.bandwagon.asia/articles/list-record-stores-in-manila-philippines-vinyl-shopping"/>
    <hyperlink ref="O123" r:id="rId298" display="Rechercher sur Maps"/>
    <hyperlink ref="T123" r:id="rId299" display="https://www.bandwagon.asia/articles/list-record-stores-in-manila-philippines-vinyl-shopping | https://www.gmanetwork.com/entertainment/showbiznews/record-shops-for-vinyl-collectors-to-visit-in-metro-manila/70384/"/>
    <hyperlink ref="J124" r:id="rId300" display="https://www.facebook.com/p/Music-Depot-100057137902994"/>
    <hyperlink ref="O124" r:id="rId301" display="Rechercher sur Maps"/>
    <hyperlink ref="T124" r:id="rId302" display="https://www.facebook.com/p/Music-Depot-100057137902994/"/>
    <hyperlink ref="O125" r:id="rId303" display="Rechercher sur Maps"/>
    <hyperlink ref="T125" r:id="rId304" display="https://lifestyleasia-onemega.com/arts-and-culture/7-places-to-buy-vinyl-records-in-manila/"/>
    <hyperlink ref="I126" r:id="rId305" display="https://www.instagram.com/absoluterecords.sg.my"/>
    <hyperlink ref="J126" r:id="rId306" display="https://www.facebook.com/p/Absolute-Records-100089438464627"/>
    <hyperlink ref="T126" r:id="rId307" display="https://www.tatlerasia.com/lifestyle/arts/best-record-stores-in-singapore | https://www.facebook.com/p/Absolute-Records-100089438464627/"/>
    <hyperlink ref="O127" r:id="rId308" display="Rechercher sur Maps"/>
    <hyperlink ref="T127" r:id="rId309" display="https://www.fzine.com/culture/avant-culture-club-vinyl-store"/>
    <hyperlink ref="O128" r:id="rId310" display="Rechercher sur Maps"/>
    <hyperlink ref="T128" r:id="rId311" display="https://citynomads.com/record-stores-in-singapore-where-to-find-vinyls-turntables-cassettes/"/>
    <hyperlink ref="I129" r:id="rId312" display="https://www.instagram.com/cherrylanerecords"/>
    <hyperlink ref="O129" r:id="rId313" display="Rechercher sur Maps"/>
    <hyperlink ref="T129" r:id="rId314" display="https://www.timeout.com/singapore/music/cherry-lane-records | https://vulcanpost.com/912230/singapores-vinyl-boom/ | https://www.bandwagon.asia/articles/best-spots-in-singapore-to-get-cds-vinyls-or-cassettes-from-your-favourite-bands | https://www.stereonet.com/news/asia-expo-record-fair-brings-crate-culture-to-marina-bay-sands"/>
    <hyperlink ref="I130" r:id="rId315" display="https://www.instagram.com/choicecutsgoods"/>
    <hyperlink ref="O130" r:id="rId316" display="Rechercher sur Maps"/>
    <hyperlink ref="T130" r:id="rId317" display="https://www.tatlerasia.com/lifestyle/arts/best-record-stores-in-singapore | https://www.thepeakmagazine.com.sg/lifestyle/new-record-shops-singapore-fuelling-vinyl-revival | https://thehoneycombers.com/singapore/record-stores-vinyls-turntables-singapore/"/>
    <hyperlink ref="H131" r:id="rId318" display="https://curatedrecords.com"/>
    <hyperlink ref="I131" r:id="rId319" display="https://www.instagram.com/curatedrecords"/>
    <hyperlink ref="J131" r:id="rId320" display="https://www.facebook.com/curatedrecords"/>
    <hyperlink ref="O131" r:id="rId321" display="Rechercher sur Maps"/>
    <hyperlink ref="T131" r:id="rId322" display="https://citynomads.com/record-stores-in-singapore-where-to-find-vinyls-turntables-cassettes/ | https://thesmartlocal.com/read/vinyl-record-stores/ | https://www.instagram.com/curatedrecords/ | https://www.facebook.com/curatedrecords/ | https://vulcanpost.com/912230/singapores-vinyl-boom/"/>
    <hyperlink ref="O132" r:id="rId323" display="Rechercher sur Maps"/>
    <hyperlink ref="T132" r:id="rId324" display="https://www.homeanddecor.com.sg/shopping/shopping-where-to-buy-vinyl-records-in-singapore-and-how-to-play-them"/>
    <hyperlink ref="J133" r:id="rId325" display="https://www.facebook.com/ForTheRecordSG"/>
    <hyperlink ref="O133" r:id="rId326" display="Rechercher sur Maps"/>
    <hyperlink ref="T133" r:id="rId327" display="https://www.facebook.com/ForTheRecordSG | https://robbreport.com.sg/where-to-buy-vinyl-in-singapore-old-school-record-stores-that-sell-vinyl-walkmans-and-cassettes/ | https://citynomads.com/record-stores-in-singapore-where-to-find-vinyls-turntables-cassettes/"/>
    <hyperlink ref="H134" r:id="rId328" display="https://www.hearrecords.com.sg"/>
    <hyperlink ref="I134" r:id="rId329" display="https://www.instagram.com/hearrecords"/>
    <hyperlink ref="O134" r:id="rId330" display="Rechercher sur Maps"/>
    <hyperlink ref="T134" r:id="rId331" display="https://www.timeout.com/singapore/shopping/hear-records | https://www.thevinylfactory.com/features/worlds-best-record-shops-041-hear-records-singapore | https://www.bandwagon.asia/articles/bandwagon-s-guide-to-vinyl-shopping-in-singapore | https://companieshouse.sg/hear-records-53229504L | https://thehoneycombers.com/singapore/record-stores-vinyls-turntables-singapore/ | https://thesmartlocal.com/read/vinyl-record-stores/"/>
    <hyperlink ref="O135" r:id="rId332" display="Rechercher sur Maps"/>
    <hyperlink ref="T135" r:id="rId333" display="https://citynomads.com/record-stores-in-singapore-where-to-find-vinyls-turntables-cassettes/ | https://www.bandwagon.asia/articles/best-spots-in-singapore-to-get-cds-vinyls-or-cassettes-from-your-favourite-bands"/>
    <hyperlink ref="O136" r:id="rId334" display="Rechercher sur Maps"/>
    <hyperlink ref="T136" r:id="rId335" display="https://thehoneycombers.com/singapore/record-stores-vinyls-turntables-singapore/"/>
    <hyperlink ref="O137" r:id="rId336" display="Rechercher sur Maps"/>
    <hyperlink ref="T137" r:id="rId337" display="https://stereonet.com/show/asia/2026-stereonet-asia-hifi-av-expo | https://stereonet.com/show/asia/"/>
    <hyperlink ref="T138" r:id="rId338" display="https://thehoneycombers.com/singapore/record-store-day-in-singapore-fred-perry-record-rally-is-one-music-event-you-cant-miss"/>
    <hyperlink ref="O139" r:id="rId339" display="Rechercher sur Maps"/>
    <hyperlink ref="T139" r:id="rId340" display="https://thesmartlocal.com/read/lifted-trax-record-store-singapore/ | https://www.thepeakmagazine.com.sg/lifestyle/new-record-shops-singapore-fuelling-vinyl-revival"/>
    <hyperlink ref="O140" r:id="rId341" display="Rechercher sur Maps"/>
    <hyperlink ref="T140" r:id="rId342" display="https://robbreport.com.sg/where-to-buy-vinyl-in-singapore-old-school-record-stores-that-sell-vinyl-walkmans-and-cassettes/ | https://citynomads.com/record-stores-in-singapore-where-to-find-vinyls-turntables-cassettes/"/>
    <hyperlink ref="I141" r:id="rId343" display="https://www.instagram.com/mostarecordslp"/>
    <hyperlink ref="T141" r:id="rId344" display="https://www.instagram.com/mostarecordslp/ | https://sg.bandwagon.asia/articles/record-store-day-2021-in-singapore-where-to-visit-for-latest-vinyls-cds-cassettes-and-more | https://www.instagram.com/side_a_singapore/ | https://www.timeout.com/singapore/music/side-a-a-singapore-record-show"/>
    <hyperlink ref="I142" r:id="rId345" display="https://www.instagram.com/musicology.records"/>
    <hyperlink ref="O142" r:id="rId346" display="Rechercher sur Maps"/>
    <hyperlink ref="T142" r:id="rId347" display="https://www.instagram.com/musicology.records/ | https://www.tatlerasia.com/lifestyle/arts/best-record-stores-in-singapore"/>
    <hyperlink ref="J143" r:id="rId348" display="https://www.facebook.com/RedPointRecord"/>
    <hyperlink ref="O143" r:id="rId349" display="Rechercher sur Maps"/>
    <hyperlink ref="T143" r:id="rId350" display="https://citynomads.com/record-stores-in-singapore-where-to-find-vinyls-turntables-cassettes/ | https://www.facebook.com/RedPointRecord/ | https://thesmartlocal.com/read/vinyl-record-stores/ | https://stereonet.com/show/asia/2026-stereonet-asia-hifi-av-expo"/>
    <hyperlink ref="I144" r:id="rId351" display="https://www.instagram.com/retrocrates"/>
    <hyperlink ref="J144" r:id="rId352" display="https://www.facebook.com/RetroCrates"/>
    <hyperlink ref="O144" r:id="rId353" display="Rechercher sur Maps"/>
    <hyperlink ref="T144" r:id="rId354" display="https://www.facebook.com/RetroCrates/ | https://thesmartlocal.com/read/vinyl-record-stores/ | https://www.homeanddecor.com.sg/shopping/shopping-where-to-buy-vinyl-records-in-singapore-and-how-to-play-them | https://stereonet.com/show/asia/2026-stereonet-asia-hifi-av-expo | https://www.lemon8-app.com/@cluuelessdays/7250083472293790209?region=sg"/>
    <hyperlink ref="H145" r:id="rId355" display="https://www.retrophonicrecords.com"/>
    <hyperlink ref="J145" r:id="rId356" display="https://www.facebook.com/RetrophonicRecords"/>
    <hyperlink ref="O145" r:id="rId357" display="Rechercher sur Maps"/>
    <hyperlink ref="T145" r:id="rId358" display="https://www.retrophonicrecords.com/about/ | https://www.facebook.com/RetrophonicRecords/"/>
    <hyperlink ref="O146" r:id="rId359" display="Rechercher sur Maps"/>
    <hyperlink ref="T146" r:id="rId360" display="https://www.homeanddecor.com.sg/shopping/shopping-where-to-buy-vinyl-records-in-singapore-and-how-to-play-them"/>
    <hyperlink ref="O147" r:id="rId361" display="Rechercher sur Maps"/>
    <hyperlink ref="T147" r:id="rId362" display="https://thesmartlocal.com/read/cd-shops-singapore/ | https://thesmartlocal.com/read/vinyl-record-stores/ | https://stereonet.com/show/asia/2026-stereonet-asia-hifi-av-expo"/>
    <hyperlink ref="J148" r:id="rId363" display="https://www.facebook.com/RoxyRecordsAndTrading"/>
    <hyperlink ref="O148" r:id="rId364" display="Rechercher sur Maps"/>
    <hyperlink ref="T148" r:id="rId365" display="https://www.facebook.com/RoxyRecordsAndTrading/ | https://www.timeout.com/singapore/music/roxy-records-and-trading | https://thesmartlocal.com/read/vinyl-record-stores/ | https://robbreport.com.sg/where-to-buy-vinyl-in-singapore-old-school-record-stores-that-sell-vinyl-walkmans-and-cassettes/"/>
    <hyperlink ref="O149" r:id="rId366" display="Rechercher sur Maps"/>
    <hyperlink ref="T149" r:id="rId367" display="https://citynomads.com/record-stores-in-singapore-where-to-find-vinyls-turntables-cassettes/ | https://stereonet.com/show/asia/2026-stereonet-asia-hifi-av-expo"/>
    <hyperlink ref="O150" r:id="rId368" display="Rechercher sur Maps"/>
    <hyperlink ref="T150" r:id="rId369" display="https://sethlui.com/vinyl-cafes-singapore-guide/ | https://thebeat.asia/singapore/delish/happenings/spend-a-slow-afternoon-at-singapores-first-vinyl-listening-cafe | https://www.timeout.com/singapore/music/the-best-listening-bars-in-singapore"/>
    <hyperlink ref="O151" r:id="rId370" display="Rechercher sur Maps"/>
    <hyperlink ref="T151" r:id="rId371" display="https://citynomads.com/record-stores-in-singapore-where-to-find-vinyls-turntables-cassettes/ | https://www.bandwagon.asia/articles/bandwagon-s-guide-to-vinyl-shopping-in-singapore"/>
    <hyperlink ref="I152" r:id="rId372" display="https://www.instagram.com/surfacenoiserecs"/>
    <hyperlink ref="O152" r:id="rId373" display="Rechercher sur Maps"/>
    <hyperlink ref="T152" r:id="rId374" display="https://robbreport.com.sg/where-to-buy-vinyl-in-singapore-old-school-record-stores-that-sell-vinyl-walkmans-and-cassettes/ | https://thehoneycombers.com/singapore/record-stores-vinyls-turntables-singapore/"/>
    <hyperlink ref="O153" r:id="rId375" display="Rechercher sur Maps"/>
    <hyperlink ref="T153" r:id="rId376" display="https://thehoneycombers.com/singapore/?p=46024 | https://www.timeout.com/singapore/music/the-best-listening-bars-in-singapore"/>
    <hyperlink ref="I154" r:id="rId377" display="https://www.instagram.com/analog_vault"/>
    <hyperlink ref="O154" r:id="rId378" display="Rechercher sur Maps"/>
    <hyperlink ref="T154" r:id="rId379" display="https://citynomads.com/record-stores-in-singapore-where-to-find-vinyls-turntables-cassettes/ | https://www.instagram.com/analog_vault/ | https://www.timeout.com/singapore/shopping/the-analog-vault | https://www.bandwagon.asia/articles/local-record-store-the-analog-vault-launches-online-store | https://thesmartlocal.com/read/vinyl-record-stores/ | https://www.bandwagon.asia/articles/bandwagon-s-guide-to-vinyl-shopping-in-singapore | https://esplanade.com/visit-esplanade/esplanade-mall/shops-and-restaurants/the-analog-vault | https://lifeinarpeggio.com/blog/a-new-tempo-the-analog-vault-record-stores-covid-affected-businesses-music-events-scene-industry-singapore"/>
    <hyperlink ref="I155" r:id="rId380" display="https://www.instagram.com/thebarbershopmusic"/>
    <hyperlink ref="O155" r:id="rId381" display="Rechercher sur Maps"/>
    <hyperlink ref="T155" r:id="rId382" display="https://thesmartlocal.com/read/vinyl-record-stores/ | https://thehoneycombers.com/singapore/?p=46024"/>
    <hyperlink ref="T156" r:id="rId383" display="https://www.homeanddecor.com.sg/shopping/shopping-where-to-buy-vinyl-records-in-singapore-and-how-to-play-them"/>
    <hyperlink ref="J157" r:id="rId384" display="https://www.facebook.com/VinylKakis"/>
    <hyperlink ref="O157" r:id="rId385" display="Rechercher sur Maps"/>
    <hyperlink ref="T157" r:id="rId386" display="https://www.facebook.com/VinylKakis/ | https://www.bandwagon.asia/articles/bandwagon-s-guide-to-vinyl-shopping-in-singapore | https://vulcanpost.com/621018/vinyl-kakis-invested-40k-business-singapore/"/>
    <hyperlink ref="O158" r:id="rId387" display="Rechercher sur Maps"/>
    <hyperlink ref="T158" r:id="rId388" display="https://www.homeanddecor.com.sg/shopping/shopping-where-to-buy-vinyl-records-in-singapore-and-how-to-play-them"/>
    <hyperlink ref="O159" r:id="rId389" display="Rechercher sur Maps"/>
    <hyperlink ref="T159" r:id="rId390" display="https://shopee.sg/blog/vinyl-records-in-singapore/amp/ | https://superfuture.com/?p=77615"/>
    <hyperlink ref="O160" r:id="rId391" display="Rechercher sur Maps"/>
    <hyperlink ref="T160" r:id="rId392" display="https://www.timeout.com/singapore/shopping/zenn-audio-electronics"/>
    <hyperlink ref="I161" r:id="rId393" display="https://www.instagram.com/cempaka_musicstore"/>
    <hyperlink ref="O161" r:id="rId394" display="Rechercher sur Maps"/>
    <hyperlink ref="T161" r:id="rId395" display="https://www.instagram.com/cempaka_musicstore/"/>
    <hyperlink ref="I162" r:id="rId396" display="https://www.instagram.com/fantasi_musik_indonesia"/>
    <hyperlink ref="T162" r:id="rId397" display="https://www.instagram.com/fantasi_musik_indonesia/"/>
    <hyperlink ref="T163" r:id="rId398" display="https://www.medcom.id/hiburan/indis/8N00DAdN-meraup-untung-dari-piringan-hitam-di-tengah-pandemi | https://www.merahputih.com/post/read/record-store-day-indonesia-2024-hadirkan-20-toko-rilisan-fisik"/>
    <hyperlink ref="I164" r:id="rId399" display="https://www.instagram.com/turnandturn"/>
    <hyperlink ref="O164" r:id="rId400" display="Rechercher sur Maps"/>
    <hyperlink ref="T164" r:id="rId401" display="https://www.instagram.com/turnandturn/ | https://www.tokopedia.com/turnandturn/etalase/kiss"/>
    <hyperlink ref="I165" r:id="rId402" display="https://www.instagram.com/millersrecordsbali"/>
    <hyperlink ref="O165" r:id="rId403" display="Rechercher sur Maps"/>
    <hyperlink ref="T165" r:id="rId404" display="https://www.instagram.com/millersrecordsbali/"/>
    <hyperlink ref="O166" r:id="rId405" display="Rechercher sur Maps"/>
    <hyperlink ref="T166" r:id="rId406" display="https://superfuture.com/?p=109708"/>
    <hyperlink ref="H167" r:id="rId407" display="https://bhangrecords.com"/>
    <hyperlink ref="O167" r:id="rId408" display="Rechercher sur Maps"/>
    <hyperlink ref="T167" r:id="rId409" display="https://www.thevinylfactory.com/features/the-worlds-best-record-shops-057-bhang-records-bandung"/>
    <hyperlink ref="O168" r:id="rId410" display="Rechercher sur Maps"/>
    <hyperlink ref="T168" r:id="rId411" display="https://www.detik.com/jabar/foto/d-6883469/nostalgia-lewat-kaset-pita?zoom=1 | https://www.stampthewax.com/?p=31962"/>
    <hyperlink ref="I169" r:id="rId412" display="https://www.instagram.com/imaginairerecordstore"/>
    <hyperlink ref="O169" r:id="rId413" display="Rechercher sur Maps"/>
    <hyperlink ref="T169" r:id="rId414" display="https://www.instagram.com/imaginairerecordstore/"/>
    <hyperlink ref="O170" r:id="rId415" display="Rechercher sur Maps"/>
    <hyperlink ref="T170" r:id="rId416" display="https://www.stampthewax.com/?p=31962"/>
    <hyperlink ref="O171" r:id="rId417" display="Rechercher sur Maps"/>
    <hyperlink ref="T171" r:id="rId418" display="https://digilib.uinsgd.ac.id/109029/4/4_BAB%20I.pdf"/>
    <hyperlink ref="O172" r:id="rId419" display="Rechercher sur Maps"/>
    <hyperlink ref="T172" r:id="rId420" display="https://digilib.uinsgd.ac.id/109029/4/4_BAB%20I.pdf"/>
    <hyperlink ref="I173" r:id="rId421" display="https://www.instagram.com/peels.records"/>
    <hyperlink ref="O173" r:id="rId422" display="Rechercher sur Maps"/>
    <hyperlink ref="T173" r:id="rId423" display="https://mixmag.asia/read/peels-records-opens-bandung-vinyl-store-cocktail-bar-indonesia-local | https://www.orami.co.id/magazine/hidden-bar-bandung | https://superfuture.com/?p=97919"/>
    <hyperlink ref="I174" r:id="rId424" display="https://www.instagram.com/quickeningstore"/>
    <hyperlink ref="O174" r:id="rId425" display="Rechercher sur Maps"/>
    <hyperlink ref="T174" r:id="rId426" display="https://www.idntimes.com/men/attitude/rekomendasi-tempat-jual-piringan-hitam-c1c2-1-01-w4261-93b395"/>
    <hyperlink ref="I175" r:id="rId427" display="https://www.instagram.com/33rpm_"/>
    <hyperlink ref="O175" r:id="rId428" display="Rechercher sur Maps"/>
    <hyperlink ref="T175" r:id="rId429" display="https://www.idntimes.com/men/attitude/rekomendasi-tempat-jual-piringan-hitam-c1c2-1-01-w4261-93b395 | https://www.merahputih.com/post/read/record-store-day-indonesia-2024-hadirkan-20-toko-rilisan-fisik"/>
    <hyperlink ref="O176" r:id="rId430" display="Rechercher sur Maps"/>
    <hyperlink ref="T176" r:id="rId431" display="https://mixmag.asia/read/jakarta-the-union-group-presents-union-records-vinyl-pop-up-market-events"/>
    <hyperlink ref="O177" r:id="rId432" display="Rechercher sur Maps"/>
    <hyperlink ref="T177" r:id="rId433" display="https://www.nowjakarta.co.id/?p=7265"/>
    <hyperlink ref="I178" r:id="rId434" display="https://www.instagram.com/astharecords"/>
    <hyperlink ref="O178" r:id="rId435" display="Rechercher sur Maps"/>
    <hyperlink ref="T178" r:id="rId436" display="https://www.instagram.com/astharecords/"/>
    <hyperlink ref="I179" r:id="rId437" display="https://www.instagram.com/atlas.recordstore"/>
    <hyperlink ref="O179" r:id="rId438" display="Rechercher sur Maps"/>
    <hyperlink ref="T179" r:id="rId439" display="https://www.nowjakarta.co.id/?p=7265 | https://www.instagram.com/atlas.recordstore/ | https://mixmag.asia/read/jakarta-the-union-group-presents-union-records-vinyl-pop-up-market-events | https://recordstoreday.com/Store/24278 | https://manual.co.id/?p=47033 | https://www.merahputih.com/post/read/record-store-day-indonesia-2024-hadirkan-20-toko-rilisan-fisik"/>
    <hyperlink ref="O180" r:id="rId440" display="Rechercher sur Maps"/>
    <hyperlink ref="T180" r:id="rId441" display="https://www.nowjakarta.co.id/?p=7265"/>
    <hyperlink ref="I181" r:id="rId442" display="https://www.instagram.com/floatingstr_blokm"/>
    <hyperlink ref="O181" r:id="rId443" display="Rechercher sur Maps"/>
    <hyperlink ref="T181" r:id="rId444" display="https://www.instagram.com/floatingstr_blokm/ | https://www.nowjakarta.co.id/?p=7265"/>
    <hyperlink ref="I182" r:id="rId445" display="https://www.instagram.com/gumarangrecordstore"/>
    <hyperlink ref="T182" r:id="rId446" display="https://www.idntimes.com/men/attitude/rekomendasi-tempat-jual-piringan-hitam-c1c2-1-01-w4261-93b395"/>
    <hyperlink ref="O183" r:id="rId447" display="Rechercher sur Maps"/>
    <hyperlink ref="T183" r:id="rId448" display="https://www.thejakartapost.com/news/2014/12/14/the-rise-independent-record-stores.html | https://www.nowjakarta.co.id/?p=7265"/>
    <hyperlink ref="O184" r:id="rId449" display="Rechercher sur Maps"/>
    <hyperlink ref="T184" r:id="rId450" display="https://news.detik.com/intermeso/d-8502511/menemukan-musik-yang-hilang-di-bawah-tanah-blok-m"/>
    <hyperlink ref="I185" r:id="rId451" display="https://www.instagram.com/jajankaset"/>
    <hyperlink ref="O185" r:id="rId452" display="Rechercher sur Maps"/>
    <hyperlink ref="T185" r:id="rId453" display="https://www.instagram.com/jajankaset/"/>
    <hyperlink ref="I186" r:id="rId454" display="https://www.instagram.com/kimsvaria"/>
    <hyperlink ref="O186" r:id="rId455" display="Rechercher sur Maps"/>
    <hyperlink ref="T186" r:id="rId456" display="https://www.nowjakarta.co.id/?p=7265"/>
    <hyperlink ref="I187" r:id="rId457" display="https://www.instagram.com/lalarecords.jkt"/>
    <hyperlink ref="O187" r:id="rId458" display="Rechercher sur Maps"/>
    <hyperlink ref="T187" r:id="rId459" display="https://www.idntimes.com/men/attitude/rekomendasi-tempat-jual-piringan-hitam-c1c2-1-01-w4261-93b395 | https://www.merahputih.com/post/read/record-store-day-indonesia-2024-hadirkan-20-toko-rilisan-fisik"/>
    <hyperlink ref="I188" r:id="rId460" display="https://www.instagram.com/laidbackbluesrecordstore"/>
    <hyperlink ref="O188" r:id="rId461" display="Rechercher sur Maps"/>
    <hyperlink ref="T188" r:id="rId462" display="https://www.idntimes.com/men/attitude/rekomendasi-tempat-jual-piringan-hitam-c1c2-1-01-w4261-93b395 | https://www.thejakartapost.com/news/2014/12/14/the-rise-independent-record-stores.html"/>
    <hyperlink ref="O189" r:id="rId463" display="Rechercher sur Maps"/>
    <hyperlink ref="T189" r:id="rId464" display="https://www.merahputih.com/post/read/record-store-day-indonesia-2024-hadirkan-20-toko-rilisan-fisik"/>
    <hyperlink ref="O190" r:id="rId465" display="Rechercher sur Maps"/>
    <hyperlink ref="T190" r:id="rId466" display="https://www.thevinylfactory.com/features/the-worlds-best-record-shops-145-lian-records-jakarta | https://theworld.org/stories/2018/03/24/jakarta-vinyl"/>
    <hyperlink ref="I191" r:id="rId467" display="https://www.instagram.com/millersrecordsjakarta"/>
    <hyperlink ref="O191" r:id="rId468" display="Rechercher sur Maps"/>
    <hyperlink ref="T191" r:id="rId469" display="https://www.instagram.com/millersrecordsjakarta/ | https://www.merahputih.com/post/read/record-store-day-indonesia-2024-hadirkan-20-toko-rilisan-fisik"/>
    <hyperlink ref="O192" r:id="rId470" display="Rechercher sur Maps"/>
    <hyperlink ref="T192" r:id="rId471" display="https://www.nowjakarta.co.id/?p=7265"/>
    <hyperlink ref="O193" r:id="rId472" display="Rechercher sur Maps"/>
    <hyperlink ref="T193" r:id="rId473" display="https://www.nowjakarta.co.id/?p=7265"/>
    <hyperlink ref="O194" r:id="rId474" display="Rechercher sur Maps"/>
    <hyperlink ref="T194" r:id="rId475" display="https://www.suara.com/foto/2018/09/16/181500/festival-piringan-hitam | https://finance.detik.com/berita-ekonomi-bisnis/d-4606343/fenomena-bisnis-piringan-hitam-barang-jadul-laba-mantul"/>
    <hyperlink ref="H195" r:id="rId476" display="https://piringan-hitam.com"/>
    <hyperlink ref="I195" r:id="rId477" display="https://www.instagram.com/phr.records"/>
    <hyperlink ref="O195" r:id="rId478" display="Rechercher sur Maps"/>
    <hyperlink ref="T195" r:id="rId479" display="https://www.instagram.com/phr.records/ | https://www.nowjakarta.co.id/?p=7265 | https://id.jobplanet.com/companies/91173/info/piringan-hitam-recordstore-phr | https://www.merahputih.com/post/read/record-store-day-indonesia-2024-hadirkan-20-toko-rilisan-fisik"/>
    <hyperlink ref="I196" r:id="rId480" display="https://www.instagram.com/playlist.record.store"/>
    <hyperlink ref="O196" r:id="rId481" display="Rechercher sur Maps"/>
    <hyperlink ref="T196" r:id="rId482" display="https://www.instagram.com/playlist.record.store/"/>
    <hyperlink ref="O197" r:id="rId483" display="Rechercher sur Maps"/>
    <hyperlink ref="T197" r:id="rId484" display="https://www.nowjakarta.co.id/?p=7265"/>
    <hyperlink ref="O198" r:id="rId485" display="Rechercher sur Maps"/>
    <hyperlink ref="T198" r:id="rId486" display="https://www.nowjakarta.co.id/?p=7265"/>
    <hyperlink ref="O199" r:id="rId487" display="Rechercher sur Maps"/>
    <hyperlink ref="T199" r:id="rId488" display="https://mixmag.asia/read/jakarta-the-union-group-presents-union-records-vinyl-pop-up-market-events | https://www.merahputih.com/post/read/record-store-day-indonesia-2024-hadirkan-20-toko-rilisan-fisik"/>
    <hyperlink ref="I200" r:id="rId489" display="https://www.instagram.com/variant.musicstore"/>
    <hyperlink ref="O200" r:id="rId490" display="Rechercher sur Maps"/>
    <hyperlink ref="T200" r:id="rId491" display="https://www.instagram.com/variant.musicstore/"/>
    <hyperlink ref="I201" r:id="rId492" display="https://www.instagram.com/vinylisious_store"/>
    <hyperlink ref="T201" r:id="rId493" display="https://www.instagram.com/vinylisious_store/"/>
    <hyperlink ref="O202" r:id="rId494" display="Rechercher sur Maps"/>
    <hyperlink ref="T202" r:id="rId495" display="https://thump.vice.com/en/article/kbwm4z/is-vinyl-dead-in-indonesia"/>
    <hyperlink ref="I203" r:id="rId496" display="https://www.instagram.com/demajors_mlg"/>
    <hyperlink ref="T203" r:id="rId497" display="https://www.instagram.com/demajors_mlg/"/>
    <hyperlink ref="I204" r:id="rId498" display="https://www.instagram.com/megadisc.id"/>
    <hyperlink ref="O204" r:id="rId499" display="Rechercher sur Maps"/>
    <hyperlink ref="T204" r:id="rId500" display="https://www.instagram.com/megadisc.id/"/>
    <hyperlink ref="I205" r:id="rId501" display="https://www.instagram.com/spinnbars.id"/>
    <hyperlink ref="T205" r:id="rId502" display="https://www.instagram.com/spinnbars.id/"/>
    <hyperlink ref="I206" r:id="rId503" display="https://www.instagram.com/winaudiophile"/>
    <hyperlink ref="O206" r:id="rId504" display="Rechercher sur Maps"/>
    <hyperlink ref="T206" r:id="rId505" display="https://www.instagram.com/winaudiophile/"/>
    <hyperlink ref="T207" r:id="rId506" display="https://www.merahputih.com/post/read/record-store-day-indonesia-2024-hadirkan-20-toko-rilisan-fisik | https://soundstudiesblog.com/tag/recording/"/>
    <hyperlink ref="I208" r:id="rId507" display="https://www.instagram.com/bintarorecords"/>
    <hyperlink ref="O208" r:id="rId508" display="Rechercher sur Maps"/>
    <hyperlink ref="T208" r:id="rId509" display="https://www.instagram.com/bintarorecords/"/>
    <hyperlink ref="O209" r:id="rId510" display="Rechercher sur Maps"/>
    <hyperlink ref="T209" r:id="rId511" display="https://www.medcom.id/hiburan/musik/0kpJXw7N-record-store-day-yogyakarta-diisi-perilisan-vinyl-shaggydog-dom-65-dan-zoo | https://mojok.co/liputan/asyik-mendengarkan-musik-dari-rilisan-fisik/"/>
    <hyperlink ref="O210" r:id="rId512" display="Rechercher sur Maps"/>
    <hyperlink ref="T210" r:id="rId513" display="https://mojok.co/liputan/sosok/toko-musik-dcell-jogja-store-langganan-gen-z-dan-milenial/ | https://mojok.co/liputan/bidikan/toko-musik-analog-dcell-jogja-eksis-sampai-belanda/"/>
    <hyperlink ref="O211" r:id="rId514" display="Rechercher sur Maps"/>
    <hyperlink ref="T211" r:id="rId515" display="https://pustaka.taratsa.id/download/57/pdf/57.pdf"/>
    <hyperlink ref="I212" r:id="rId516" display="https://www.instagram.com/malaikatrecords"/>
    <hyperlink ref="O212" r:id="rId517" display="Rechercher sur Maps"/>
    <hyperlink ref="T212" r:id="rId518" display="https://www.instagram.com/malaikatrecords/"/>
    <hyperlink ref="I213" r:id="rId519" display="https://www.instagram.com/mantrino.records"/>
    <hyperlink ref="O213" r:id="rId520" display="Rechercher sur Maps"/>
    <hyperlink ref="T213" r:id="rId521" display="https://www.instagram.com/mantrino.records/"/>
    <hyperlink ref="O214" r:id="rId522" display="Rechercher sur Maps"/>
    <hyperlink ref="T214" r:id="rId523" display="https://pustaka.taratsa.id/download/57/pdf/57.pdf | https://www.medcom.id/hiburan/musik/0kpJXw7N-record-store-day-yogyakarta-diisi-perilisan-vinyl-shaggydog-dom-65-dan-zoo | https://mojok.co/liputan/asyik-mendengarkan-musik-dari-rilisan-fisik/"/>
    <hyperlink ref="I215" r:id="rId524" display="https://www.instagram.com/koleksivinyl"/>
    <hyperlink ref="T215" r:id="rId525" display="https://www.instagram.com/koleksivinyl/"/>
    <hyperlink ref="O216" r:id="rId526" display="Rechercher sur Maps"/>
    <hyperlink ref="T216" r:id="rId527" display="https://www.medcom.id/hiburan/musik/0kpJXw7N-record-store-day-yogyakarta-diisi-perilisan-vinyl-shaggydog-dom-65-dan-zoo | https://mojok.co/liputan/asyik-mendengarkan-musik-dari-rilisan-fisik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45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2" min="11" style="0" width="30"/>
    <col collapsed="false" customWidth="true" hidden="false" outlineLevel="0" max="13" min="13" style="0" width="32"/>
    <col collapsed="false" customWidth="true" hidden="false" outlineLevel="0" max="14" min="14" style="0" width="24"/>
    <col collapsed="false" customWidth="true" hidden="false" outlineLevel="0" max="15" min="15" style="0" width="20"/>
    <col collapsed="false" customWidth="true" hidden="false" outlineLevel="0" max="16" min="16" style="0" width="26"/>
    <col collapsed="false" customWidth="true" hidden="false" outlineLevel="0" max="17" min="17" style="0" width="32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45"/>
    <col collapsed="false" customWidth="true" hidden="false" outlineLevel="0" max="23" min="23" style="0" width="50"/>
  </cols>
  <sheetData>
    <row r="1" customFormat="false" ht="30" hidden="false" customHeight="true" outlineLevel="0" collapsed="false">
      <c r="A1" s="10" t="s">
        <v>29</v>
      </c>
      <c r="B1" s="10" t="s">
        <v>30</v>
      </c>
      <c r="C1" s="10" t="s">
        <v>2</v>
      </c>
      <c r="D1" s="10" t="s">
        <v>31</v>
      </c>
      <c r="E1" s="10" t="s">
        <v>32</v>
      </c>
      <c r="F1" s="10" t="s">
        <v>33</v>
      </c>
      <c r="G1" s="10" t="s">
        <v>1173</v>
      </c>
      <c r="H1" s="10" t="s">
        <v>1174</v>
      </c>
      <c r="I1" s="10" t="s">
        <v>1175</v>
      </c>
      <c r="J1" s="10" t="s">
        <v>1176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  <c r="Q1" s="10" t="s">
        <v>1177</v>
      </c>
      <c r="R1" s="10" t="s">
        <v>42</v>
      </c>
      <c r="S1" s="10" t="s">
        <v>43</v>
      </c>
      <c r="T1" s="10" t="s">
        <v>44</v>
      </c>
      <c r="U1" s="10" t="s">
        <v>45</v>
      </c>
      <c r="V1" s="10" t="s">
        <v>46</v>
      </c>
      <c r="W1" s="10" t="s">
        <v>47</v>
      </c>
    </row>
    <row r="2" customFormat="false" ht="15" hidden="false" customHeight="false" outlineLevel="0" collapsed="false">
      <c r="A2" s="11" t="n">
        <v>1</v>
      </c>
      <c r="B2" s="11" t="s">
        <v>1178</v>
      </c>
      <c r="C2" s="11" t="s">
        <v>10</v>
      </c>
      <c r="D2" s="11"/>
      <c r="E2" s="11"/>
      <c r="F2" s="11" t="s">
        <v>290</v>
      </c>
      <c r="G2" s="11" t="s">
        <v>1179</v>
      </c>
      <c r="H2" s="11" t="s">
        <v>1180</v>
      </c>
      <c r="I2" s="11" t="str">
        <f aca="false">IF(OR(G2="Gros",AND(H2&lt;&gt;"",S2="Oui")),"A",IF(OR(G2="Moyen",H2&lt;&gt;""),"B","C"))</f>
        <v>A</v>
      </c>
      <c r="J2" s="11" t="s">
        <v>1181</v>
      </c>
      <c r="K2" s="11"/>
      <c r="L2" s="11"/>
      <c r="M2" s="11"/>
      <c r="N2" s="11"/>
      <c r="O2" s="11"/>
      <c r="P2" s="11"/>
      <c r="Q2" s="11"/>
      <c r="R2" s="11"/>
      <c r="S2" s="11"/>
      <c r="T2" s="11" t="s">
        <v>73</v>
      </c>
      <c r="U2" s="11" t="n">
        <f aca="false">COUNTA(K2:P2)</f>
        <v>0</v>
      </c>
      <c r="V2" s="11" t="s">
        <v>1182</v>
      </c>
      <c r="W2" s="13" t="s">
        <v>1183</v>
      </c>
    </row>
    <row r="3" customFormat="false" ht="15" hidden="false" customHeight="false" outlineLevel="0" collapsed="false">
      <c r="A3" s="11" t="n">
        <v>2</v>
      </c>
      <c r="B3" s="11" t="s">
        <v>1184</v>
      </c>
      <c r="C3" s="11" t="s">
        <v>10</v>
      </c>
      <c r="D3" s="11" t="s">
        <v>49</v>
      </c>
      <c r="E3" s="11" t="s">
        <v>1185</v>
      </c>
      <c r="F3" s="11" t="s">
        <v>321</v>
      </c>
      <c r="G3" s="11" t="s">
        <v>1179</v>
      </c>
      <c r="H3" s="11" t="s">
        <v>1186</v>
      </c>
      <c r="I3" s="11" t="str">
        <f aca="false">IF(OR(G3="Gros",AND(H3&lt;&gt;"",S3="Oui")),"A",IF(OR(G3="Moyen",H3&lt;&gt;""),"B","C"))</f>
        <v>A</v>
      </c>
      <c r="J3" s="11" t="s">
        <v>1187</v>
      </c>
      <c r="K3" s="11"/>
      <c r="L3" s="11"/>
      <c r="M3" s="11"/>
      <c r="N3" s="11"/>
      <c r="O3" s="11"/>
      <c r="P3" s="11"/>
      <c r="Q3" s="11"/>
      <c r="R3" s="12" t="s">
        <v>54</v>
      </c>
      <c r="S3" s="11"/>
      <c r="T3" s="11" t="s">
        <v>73</v>
      </c>
      <c r="U3" s="11" t="n">
        <f aca="false">COUNTA(K3:P3)</f>
        <v>0</v>
      </c>
      <c r="V3" s="11" t="s">
        <v>1188</v>
      </c>
      <c r="W3" s="13" t="s">
        <v>1189</v>
      </c>
    </row>
    <row r="4" customFormat="false" ht="15" hidden="false" customHeight="false" outlineLevel="0" collapsed="false">
      <c r="A4" s="11" t="n">
        <v>3</v>
      </c>
      <c r="B4" s="11" t="s">
        <v>1190</v>
      </c>
      <c r="C4" s="11" t="s">
        <v>10</v>
      </c>
      <c r="D4" s="11" t="s">
        <v>49</v>
      </c>
      <c r="E4" s="11" t="s">
        <v>1191</v>
      </c>
      <c r="F4" s="11" t="s">
        <v>122</v>
      </c>
      <c r="G4" s="11" t="s">
        <v>1179</v>
      </c>
      <c r="H4" s="11" t="s">
        <v>1192</v>
      </c>
      <c r="I4" s="11" t="str">
        <f aca="false">IF(OR(G4="Gros",AND(H4&lt;&gt;"",S4="Oui")),"A",IF(OR(G4="Moyen",H4&lt;&gt;""),"B","C"))</f>
        <v>A</v>
      </c>
      <c r="J4" s="11" t="s">
        <v>1193</v>
      </c>
      <c r="K4" s="11"/>
      <c r="L4" s="12" t="s">
        <v>1194</v>
      </c>
      <c r="M4" s="11"/>
      <c r="N4" s="11"/>
      <c r="O4" s="11"/>
      <c r="P4" s="11"/>
      <c r="Q4" s="11"/>
      <c r="R4" s="12" t="s">
        <v>54</v>
      </c>
      <c r="S4" s="11" t="s">
        <v>1195</v>
      </c>
      <c r="T4" s="11" t="s">
        <v>73</v>
      </c>
      <c r="U4" s="11" t="n">
        <f aca="false">COUNTA(K4:P4)</f>
        <v>1</v>
      </c>
      <c r="V4" s="11" t="s">
        <v>1196</v>
      </c>
      <c r="W4" s="13" t="s">
        <v>1197</v>
      </c>
    </row>
    <row r="5" customFormat="false" ht="15" hidden="false" customHeight="false" outlineLevel="0" collapsed="false">
      <c r="A5" s="11" t="n">
        <v>4</v>
      </c>
      <c r="B5" s="11" t="s">
        <v>1198</v>
      </c>
      <c r="C5" s="11" t="s">
        <v>10</v>
      </c>
      <c r="D5" s="11" t="s">
        <v>49</v>
      </c>
      <c r="E5" s="11" t="s">
        <v>1199</v>
      </c>
      <c r="F5" s="11" t="s">
        <v>156</v>
      </c>
      <c r="G5" s="11" t="s">
        <v>1179</v>
      </c>
      <c r="H5" s="11"/>
      <c r="I5" s="11" t="str">
        <f aca="false">IF(OR(G5="Gros",AND(H5&lt;&gt;"",S5="Oui")),"A",IF(OR(G5="Moyen",H5&lt;&gt;""),"B","C"))</f>
        <v>A</v>
      </c>
      <c r="J5" s="11" t="s">
        <v>1200</v>
      </c>
      <c r="K5" s="11"/>
      <c r="L5" s="11"/>
      <c r="M5" s="11"/>
      <c r="N5" s="11"/>
      <c r="O5" s="11"/>
      <c r="P5" s="11"/>
      <c r="Q5" s="11"/>
      <c r="R5" s="12" t="s">
        <v>54</v>
      </c>
      <c r="S5" s="11"/>
      <c r="T5" s="11" t="s">
        <v>73</v>
      </c>
      <c r="U5" s="11" t="n">
        <f aca="false">COUNTA(K5:P5)</f>
        <v>0</v>
      </c>
      <c r="V5" s="11" t="s">
        <v>1201</v>
      </c>
      <c r="W5" s="13" t="s">
        <v>1202</v>
      </c>
    </row>
    <row r="6" customFormat="false" ht="15" hidden="false" customHeight="false" outlineLevel="0" collapsed="false">
      <c r="A6" s="11" t="n">
        <v>5</v>
      </c>
      <c r="B6" s="11" t="s">
        <v>1203</v>
      </c>
      <c r="C6" s="11" t="s">
        <v>10</v>
      </c>
      <c r="D6" s="11" t="s">
        <v>49</v>
      </c>
      <c r="E6" s="11" t="s">
        <v>1204</v>
      </c>
      <c r="F6" s="11" t="s">
        <v>321</v>
      </c>
      <c r="G6" s="11" t="s">
        <v>1179</v>
      </c>
      <c r="H6" s="11" t="s">
        <v>1205</v>
      </c>
      <c r="I6" s="11" t="str">
        <f aca="false">IF(OR(G6="Gros",AND(H6&lt;&gt;"",S6="Oui")),"A",IF(OR(G6="Moyen",H6&lt;&gt;""),"B","C"))</f>
        <v>A</v>
      </c>
      <c r="J6" s="11" t="s">
        <v>1206</v>
      </c>
      <c r="K6" s="11"/>
      <c r="L6" s="11"/>
      <c r="M6" s="12" t="s">
        <v>1207</v>
      </c>
      <c r="N6" s="11"/>
      <c r="O6" s="11"/>
      <c r="P6" s="11"/>
      <c r="Q6" s="11"/>
      <c r="R6" s="12" t="s">
        <v>54</v>
      </c>
      <c r="S6" s="11"/>
      <c r="T6" s="11" t="s">
        <v>55</v>
      </c>
      <c r="U6" s="11" t="n">
        <f aca="false">COUNTA(K6:P6)</f>
        <v>1</v>
      </c>
      <c r="V6" s="11" t="s">
        <v>1208</v>
      </c>
      <c r="W6" s="13" t="s">
        <v>1209</v>
      </c>
    </row>
    <row r="7" customFormat="false" ht="15" hidden="false" customHeight="false" outlineLevel="0" collapsed="false">
      <c r="A7" s="11" t="n">
        <v>6</v>
      </c>
      <c r="B7" s="11" t="s">
        <v>1210</v>
      </c>
      <c r="C7" s="11" t="s">
        <v>10</v>
      </c>
      <c r="D7" s="11" t="s">
        <v>1211</v>
      </c>
      <c r="E7" s="11" t="s">
        <v>1212</v>
      </c>
      <c r="F7" s="11" t="s">
        <v>290</v>
      </c>
      <c r="G7" s="11" t="s">
        <v>1179</v>
      </c>
      <c r="H7" s="11" t="s">
        <v>1213</v>
      </c>
      <c r="I7" s="11" t="str">
        <f aca="false">IF(OR(G7="Gros",AND(H7&lt;&gt;"",S7="Oui")),"A",IF(OR(G7="Moyen",H7&lt;&gt;""),"B","C"))</f>
        <v>A</v>
      </c>
      <c r="J7" s="11" t="s">
        <v>1214</v>
      </c>
      <c r="K7" s="11"/>
      <c r="L7" s="11"/>
      <c r="M7" s="12" t="s">
        <v>1215</v>
      </c>
      <c r="N7" s="11"/>
      <c r="O7" s="11"/>
      <c r="P7" s="11"/>
      <c r="Q7" s="11" t="s">
        <v>1216</v>
      </c>
      <c r="R7" s="11"/>
      <c r="S7" s="11"/>
      <c r="T7" s="11" t="s">
        <v>73</v>
      </c>
      <c r="U7" s="11" t="n">
        <f aca="false">COUNTA(K7:P7)</f>
        <v>1</v>
      </c>
      <c r="V7" s="11" t="s">
        <v>1217</v>
      </c>
      <c r="W7" s="13" t="s">
        <v>1218</v>
      </c>
    </row>
    <row r="8" customFormat="false" ht="15" hidden="false" customHeight="false" outlineLevel="0" collapsed="false">
      <c r="A8" s="11" t="n">
        <v>7</v>
      </c>
      <c r="B8" s="11" t="s">
        <v>1219</v>
      </c>
      <c r="C8" s="11" t="s">
        <v>10</v>
      </c>
      <c r="D8" s="11" t="s">
        <v>1220</v>
      </c>
      <c r="E8" s="11" t="s">
        <v>1221</v>
      </c>
      <c r="F8" s="11" t="s">
        <v>321</v>
      </c>
      <c r="G8" s="11" t="s">
        <v>1179</v>
      </c>
      <c r="H8" s="11" t="s">
        <v>1222</v>
      </c>
      <c r="I8" s="11" t="str">
        <f aca="false">IF(OR(G8="Gros",AND(H8&lt;&gt;"",S8="Oui")),"A",IF(OR(G8="Moyen",H8&lt;&gt;""),"B","C"))</f>
        <v>A</v>
      </c>
      <c r="J8" s="11" t="s">
        <v>1223</v>
      </c>
      <c r="K8" s="11"/>
      <c r="L8" s="11"/>
      <c r="M8" s="11"/>
      <c r="N8" s="11"/>
      <c r="O8" s="11"/>
      <c r="P8" s="11"/>
      <c r="Q8" s="11"/>
      <c r="R8" s="12" t="s">
        <v>54</v>
      </c>
      <c r="S8" s="11"/>
      <c r="T8" s="11" t="s">
        <v>73</v>
      </c>
      <c r="U8" s="11" t="n">
        <f aca="false">COUNTA(K8:P8)</f>
        <v>0</v>
      </c>
      <c r="V8" s="11" t="s">
        <v>1224</v>
      </c>
      <c r="W8" s="13" t="s">
        <v>1225</v>
      </c>
    </row>
    <row r="9" customFormat="false" ht="15" hidden="false" customHeight="false" outlineLevel="0" collapsed="false">
      <c r="A9" s="11" t="n">
        <v>8</v>
      </c>
      <c r="B9" s="11" t="s">
        <v>1226</v>
      </c>
      <c r="C9" s="11" t="s">
        <v>10</v>
      </c>
      <c r="D9" s="11" t="s">
        <v>49</v>
      </c>
      <c r="E9" s="11" t="s">
        <v>1227</v>
      </c>
      <c r="F9" s="11" t="s">
        <v>51</v>
      </c>
      <c r="G9" s="11" t="s">
        <v>1228</v>
      </c>
      <c r="H9" s="11"/>
      <c r="I9" s="11" t="str">
        <f aca="false">IF(OR(G9="Gros",AND(H9&lt;&gt;"",S9="Oui")),"A",IF(OR(G9="Moyen",H9&lt;&gt;""),"B","C"))</f>
        <v>B</v>
      </c>
      <c r="J9" s="11" t="s">
        <v>1229</v>
      </c>
      <c r="K9" s="11"/>
      <c r="L9" s="11"/>
      <c r="M9" s="11"/>
      <c r="N9" s="11"/>
      <c r="O9" s="11"/>
      <c r="P9" s="11"/>
      <c r="Q9" s="11"/>
      <c r="R9" s="12" t="s">
        <v>54</v>
      </c>
      <c r="S9" s="11"/>
      <c r="T9" s="11" t="s">
        <v>73</v>
      </c>
      <c r="U9" s="11" t="n">
        <f aca="false">COUNTA(K9:P9)</f>
        <v>0</v>
      </c>
      <c r="V9" s="11" t="s">
        <v>1230</v>
      </c>
      <c r="W9" s="13" t="s">
        <v>1231</v>
      </c>
    </row>
    <row r="10" customFormat="false" ht="15" hidden="false" customHeight="false" outlineLevel="0" collapsed="false">
      <c r="A10" s="11" t="n">
        <v>9</v>
      </c>
      <c r="B10" s="11" t="s">
        <v>1232</v>
      </c>
      <c r="C10" s="11" t="s">
        <v>10</v>
      </c>
      <c r="D10" s="11" t="s">
        <v>49</v>
      </c>
      <c r="E10" s="11" t="s">
        <v>1233</v>
      </c>
      <c r="F10" s="11" t="s">
        <v>51</v>
      </c>
      <c r="G10" s="11" t="s">
        <v>1228</v>
      </c>
      <c r="H10" s="11"/>
      <c r="I10" s="11" t="str">
        <f aca="false">IF(OR(G10="Gros",AND(H10&lt;&gt;"",S10="Oui")),"A",IF(OR(G10="Moyen",H10&lt;&gt;""),"B","C"))</f>
        <v>B</v>
      </c>
      <c r="J10" s="11" t="s">
        <v>1234</v>
      </c>
      <c r="K10" s="11"/>
      <c r="L10" s="12" t="s">
        <v>1235</v>
      </c>
      <c r="M10" s="12" t="s">
        <v>1236</v>
      </c>
      <c r="N10" s="11"/>
      <c r="O10" s="11"/>
      <c r="P10" s="11"/>
      <c r="Q10" s="11"/>
      <c r="R10" s="12" t="s">
        <v>54</v>
      </c>
      <c r="S10" s="11"/>
      <c r="T10" s="11" t="s">
        <v>73</v>
      </c>
      <c r="U10" s="11" t="n">
        <f aca="false">COUNTA(K10:P10)</f>
        <v>2</v>
      </c>
      <c r="V10" s="11" t="s">
        <v>1237</v>
      </c>
      <c r="W10" s="13" t="s">
        <v>1238</v>
      </c>
    </row>
    <row r="11" customFormat="false" ht="15" hidden="false" customHeight="false" outlineLevel="0" collapsed="false">
      <c r="A11" s="11" t="n">
        <v>10</v>
      </c>
      <c r="B11" s="11" t="s">
        <v>1239</v>
      </c>
      <c r="C11" s="11" t="s">
        <v>10</v>
      </c>
      <c r="D11" s="11" t="s">
        <v>49</v>
      </c>
      <c r="E11" s="11" t="s">
        <v>1240</v>
      </c>
      <c r="F11" s="11" t="s">
        <v>1241</v>
      </c>
      <c r="G11" s="11" t="s">
        <v>1228</v>
      </c>
      <c r="H11" s="11" t="s">
        <v>1242</v>
      </c>
      <c r="I11" s="11" t="str">
        <f aca="false">IF(OR(G11="Gros",AND(H11&lt;&gt;"",S11="Oui")),"A",IF(OR(G11="Moyen",H11&lt;&gt;""),"B","C"))</f>
        <v>B</v>
      </c>
      <c r="J11" s="11" t="s">
        <v>1243</v>
      </c>
      <c r="K11" s="11"/>
      <c r="L11" s="11"/>
      <c r="M11" s="11"/>
      <c r="N11" s="11"/>
      <c r="O11" s="11"/>
      <c r="P11" s="11"/>
      <c r="Q11" s="11"/>
      <c r="R11" s="12" t="s">
        <v>54</v>
      </c>
      <c r="S11" s="11"/>
      <c r="T11" s="11" t="s">
        <v>73</v>
      </c>
      <c r="U11" s="11" t="n">
        <f aca="false">COUNTA(K11:P11)</f>
        <v>0</v>
      </c>
      <c r="V11" s="11" t="s">
        <v>1244</v>
      </c>
      <c r="W11" s="13" t="s">
        <v>1245</v>
      </c>
    </row>
    <row r="12" customFormat="false" ht="15" hidden="false" customHeight="false" outlineLevel="0" collapsed="false">
      <c r="A12" s="11" t="n">
        <v>11</v>
      </c>
      <c r="B12" s="11" t="s">
        <v>1246</v>
      </c>
      <c r="C12" s="11" t="s">
        <v>10</v>
      </c>
      <c r="D12" s="11" t="s">
        <v>49</v>
      </c>
      <c r="E12" s="11" t="s">
        <v>1247</v>
      </c>
      <c r="F12" s="11" t="s">
        <v>122</v>
      </c>
      <c r="G12" s="11" t="s">
        <v>1228</v>
      </c>
      <c r="H12" s="11"/>
      <c r="I12" s="11" t="str">
        <f aca="false">IF(OR(G12="Gros",AND(H12&lt;&gt;"",S12="Oui")),"A",IF(OR(G12="Moyen",H12&lt;&gt;""),"B","C"))</f>
        <v>B</v>
      </c>
      <c r="J12" s="11" t="s">
        <v>1248</v>
      </c>
      <c r="K12" s="12" t="s">
        <v>1249</v>
      </c>
      <c r="L12" s="11"/>
      <c r="M12" s="12" t="s">
        <v>1250</v>
      </c>
      <c r="N12" s="11"/>
      <c r="O12" s="11" t="s">
        <v>1251</v>
      </c>
      <c r="P12" s="11"/>
      <c r="Q12" s="11"/>
      <c r="R12" s="12" t="s">
        <v>54</v>
      </c>
      <c r="S12" s="11"/>
      <c r="T12" s="11" t="s">
        <v>73</v>
      </c>
      <c r="U12" s="11" t="n">
        <f aca="false">COUNTA(K12:P12)</f>
        <v>3</v>
      </c>
      <c r="V12" s="11" t="s">
        <v>1252</v>
      </c>
      <c r="W12" s="13" t="s">
        <v>1253</v>
      </c>
    </row>
    <row r="13" customFormat="false" ht="15" hidden="false" customHeight="false" outlineLevel="0" collapsed="false">
      <c r="A13" s="11" t="n">
        <v>12</v>
      </c>
      <c r="B13" s="11" t="s">
        <v>1254</v>
      </c>
      <c r="C13" s="11" t="s">
        <v>10</v>
      </c>
      <c r="D13" s="11" t="s">
        <v>1255</v>
      </c>
      <c r="E13" s="11" t="s">
        <v>1256</v>
      </c>
      <c r="F13" s="11" t="s">
        <v>51</v>
      </c>
      <c r="G13" s="11" t="s">
        <v>1228</v>
      </c>
      <c r="H13" s="11"/>
      <c r="I13" s="11" t="str">
        <f aca="false">IF(OR(G13="Gros",AND(H13&lt;&gt;"",S13="Oui")),"A",IF(OR(G13="Moyen",H13&lt;&gt;""),"B","C"))</f>
        <v>B</v>
      </c>
      <c r="J13" s="11" t="s">
        <v>1257</v>
      </c>
      <c r="K13" s="11"/>
      <c r="L13" s="11"/>
      <c r="M13" s="12" t="s">
        <v>1258</v>
      </c>
      <c r="N13" s="11"/>
      <c r="O13" s="11" t="s">
        <v>1259</v>
      </c>
      <c r="P13" s="11"/>
      <c r="Q13" s="11"/>
      <c r="R13" s="12" t="s">
        <v>54</v>
      </c>
      <c r="S13" s="11"/>
      <c r="T13" s="11" t="s">
        <v>73</v>
      </c>
      <c r="U13" s="11" t="n">
        <f aca="false">COUNTA(K13:P13)</f>
        <v>2</v>
      </c>
      <c r="V13" s="11"/>
      <c r="W13" s="13" t="s">
        <v>1260</v>
      </c>
    </row>
    <row r="14" customFormat="false" ht="15" hidden="false" customHeight="false" outlineLevel="0" collapsed="false">
      <c r="A14" s="11" t="n">
        <v>13</v>
      </c>
      <c r="B14" s="11" t="s">
        <v>1261</v>
      </c>
      <c r="C14" s="11" t="s">
        <v>10</v>
      </c>
      <c r="D14" s="11" t="s">
        <v>1262</v>
      </c>
      <c r="E14" s="11" t="s">
        <v>1263</v>
      </c>
      <c r="F14" s="11" t="s">
        <v>156</v>
      </c>
      <c r="G14" s="11" t="s">
        <v>1228</v>
      </c>
      <c r="H14" s="11"/>
      <c r="I14" s="11" t="str">
        <f aca="false">IF(OR(G14="Gros",AND(H14&lt;&gt;"",S14="Oui")),"A",IF(OR(G14="Moyen",H14&lt;&gt;""),"B","C"))</f>
        <v>B</v>
      </c>
      <c r="J14" s="11" t="s">
        <v>1264</v>
      </c>
      <c r="K14" s="11"/>
      <c r="L14" s="11"/>
      <c r="M14" s="12" t="s">
        <v>1265</v>
      </c>
      <c r="N14" s="11"/>
      <c r="O14" s="11" t="s">
        <v>1266</v>
      </c>
      <c r="P14" s="11"/>
      <c r="Q14" s="11"/>
      <c r="R14" s="12" t="s">
        <v>54</v>
      </c>
      <c r="S14" s="11"/>
      <c r="T14" s="11" t="s">
        <v>73</v>
      </c>
      <c r="U14" s="11" t="n">
        <f aca="false">COUNTA(K14:P14)</f>
        <v>2</v>
      </c>
      <c r="V14" s="11" t="s">
        <v>1267</v>
      </c>
      <c r="W14" s="13" t="s">
        <v>1268</v>
      </c>
    </row>
    <row r="15" customFormat="false" ht="15" hidden="false" customHeight="false" outlineLevel="0" collapsed="false">
      <c r="A15" s="11" t="n">
        <v>14</v>
      </c>
      <c r="B15" s="11" t="s">
        <v>1269</v>
      </c>
      <c r="C15" s="11" t="s">
        <v>10</v>
      </c>
      <c r="D15" s="11"/>
      <c r="E15" s="11"/>
      <c r="F15" s="11" t="s">
        <v>133</v>
      </c>
      <c r="G15" s="11" t="s">
        <v>1270</v>
      </c>
      <c r="H15" s="11"/>
      <c r="I15" s="11" t="str">
        <f aca="false">IF(OR(G15="Gros",AND(H15&lt;&gt;"",S15="Oui")),"A",IF(OR(G15="Moyen",H15&lt;&gt;""),"B","C"))</f>
        <v>C</v>
      </c>
      <c r="J15" s="11" t="s">
        <v>1271</v>
      </c>
      <c r="K15" s="11"/>
      <c r="L15" s="11"/>
      <c r="M15" s="12" t="s">
        <v>1272</v>
      </c>
      <c r="N15" s="11"/>
      <c r="O15" s="11" t="s">
        <v>1273</v>
      </c>
      <c r="P15" s="11"/>
      <c r="Q15" s="11"/>
      <c r="R15" s="11"/>
      <c r="S15" s="11"/>
      <c r="T15" s="11" t="s">
        <v>55</v>
      </c>
      <c r="U15" s="11" t="n">
        <f aca="false">COUNTA(K15:P15)</f>
        <v>2</v>
      </c>
      <c r="V15" s="11"/>
      <c r="W15" s="13" t="s">
        <v>1274</v>
      </c>
    </row>
    <row r="16" customFormat="false" ht="15" hidden="false" customHeight="false" outlineLevel="0" collapsed="false">
      <c r="A16" s="11" t="n">
        <v>15</v>
      </c>
      <c r="B16" s="11" t="s">
        <v>1275</v>
      </c>
      <c r="C16" s="11" t="s">
        <v>10</v>
      </c>
      <c r="D16" s="11"/>
      <c r="E16" s="11"/>
      <c r="F16" s="11" t="s">
        <v>133</v>
      </c>
      <c r="G16" s="11" t="s">
        <v>1270</v>
      </c>
      <c r="H16" s="11"/>
      <c r="I16" s="11" t="str">
        <f aca="false">IF(OR(G16="Gros",AND(H16&lt;&gt;"",S16="Oui")),"A",IF(OR(G16="Moyen",H16&lt;&gt;""),"B","C"))</f>
        <v>C</v>
      </c>
      <c r="J16" s="11" t="s">
        <v>1276</v>
      </c>
      <c r="K16" s="11"/>
      <c r="L16" s="12" t="s">
        <v>1277</v>
      </c>
      <c r="M16" s="11"/>
      <c r="N16" s="11"/>
      <c r="O16" s="11"/>
      <c r="P16" s="11"/>
      <c r="Q16" s="11"/>
      <c r="R16" s="11"/>
      <c r="S16" s="11"/>
      <c r="T16" s="11" t="s">
        <v>55</v>
      </c>
      <c r="U16" s="11" t="n">
        <f aca="false">COUNTA(K16:P16)</f>
        <v>1</v>
      </c>
      <c r="V16" s="11" t="s">
        <v>1278</v>
      </c>
      <c r="W16" s="13" t="s">
        <v>1279</v>
      </c>
    </row>
    <row r="17" customFormat="false" ht="15" hidden="false" customHeight="false" outlineLevel="0" collapsed="false">
      <c r="A17" s="11" t="n">
        <v>16</v>
      </c>
      <c r="B17" s="11" t="s">
        <v>1280</v>
      </c>
      <c r="C17" s="11" t="s">
        <v>10</v>
      </c>
      <c r="D17" s="11"/>
      <c r="E17" s="11"/>
      <c r="F17" s="11" t="s">
        <v>51</v>
      </c>
      <c r="G17" s="11" t="s">
        <v>1270</v>
      </c>
      <c r="H17" s="11"/>
      <c r="I17" s="11" t="str">
        <f aca="false">IF(OR(G17="Gros",AND(H17&lt;&gt;"",S17="Oui")),"A",IF(OR(G17="Moyen",H17&lt;&gt;""),"B","C"))</f>
        <v>C</v>
      </c>
      <c r="J17" s="11" t="s">
        <v>1281</v>
      </c>
      <c r="K17" s="11"/>
      <c r="L17" s="11"/>
      <c r="M17" s="12" t="s">
        <v>1282</v>
      </c>
      <c r="N17" s="11"/>
      <c r="O17" s="11"/>
      <c r="P17" s="11"/>
      <c r="Q17" s="11"/>
      <c r="R17" s="12" t="s">
        <v>54</v>
      </c>
      <c r="S17" s="11"/>
      <c r="T17" s="11" t="s">
        <v>55</v>
      </c>
      <c r="U17" s="11" t="n">
        <f aca="false">COUNTA(K17:P17)</f>
        <v>1</v>
      </c>
      <c r="V17" s="11"/>
      <c r="W17" s="13" t="s">
        <v>1283</v>
      </c>
    </row>
    <row r="18" customFormat="false" ht="15" hidden="false" customHeight="false" outlineLevel="0" collapsed="false">
      <c r="A18" s="11" t="n">
        <v>17</v>
      </c>
      <c r="B18" s="11" t="s">
        <v>1284</v>
      </c>
      <c r="C18" s="11" t="s">
        <v>10</v>
      </c>
      <c r="D18" s="11" t="s">
        <v>1285</v>
      </c>
      <c r="E18" s="11"/>
      <c r="F18" s="11" t="s">
        <v>51</v>
      </c>
      <c r="G18" s="11" t="s">
        <v>1270</v>
      </c>
      <c r="H18" s="11"/>
      <c r="I18" s="11" t="str">
        <f aca="false">IF(OR(G18="Gros",AND(H18&lt;&gt;"",S18="Oui")),"A",IF(OR(G18="Moyen",H18&lt;&gt;""),"B","C"))</f>
        <v>C</v>
      </c>
      <c r="J18" s="11" t="s">
        <v>1286</v>
      </c>
      <c r="K18" s="11"/>
      <c r="L18" s="11"/>
      <c r="M18" s="12" t="s">
        <v>1287</v>
      </c>
      <c r="N18" s="11"/>
      <c r="O18" s="11"/>
      <c r="P18" s="11"/>
      <c r="Q18" s="11"/>
      <c r="R18" s="12" t="s">
        <v>54</v>
      </c>
      <c r="S18" s="11"/>
      <c r="T18" s="11" t="s">
        <v>55</v>
      </c>
      <c r="U18" s="11" t="n">
        <f aca="false">COUNTA(K18:P18)</f>
        <v>1</v>
      </c>
      <c r="V18" s="11" t="s">
        <v>1288</v>
      </c>
      <c r="W18" s="13" t="s">
        <v>1289</v>
      </c>
    </row>
    <row r="19" customFormat="false" ht="15" hidden="false" customHeight="false" outlineLevel="0" collapsed="false">
      <c r="A19" s="11" t="n">
        <v>18</v>
      </c>
      <c r="B19" s="11" t="s">
        <v>1290</v>
      </c>
      <c r="C19" s="11" t="s">
        <v>10</v>
      </c>
      <c r="D19" s="11" t="s">
        <v>49</v>
      </c>
      <c r="E19" s="11" t="s">
        <v>1291</v>
      </c>
      <c r="F19" s="11" t="s">
        <v>51</v>
      </c>
      <c r="G19" s="11" t="s">
        <v>1270</v>
      </c>
      <c r="H19" s="11"/>
      <c r="I19" s="11" t="str">
        <f aca="false">IF(OR(G19="Gros",AND(H19&lt;&gt;"",S19="Oui")),"A",IF(OR(G19="Moyen",H19&lt;&gt;""),"B","C"))</f>
        <v>C</v>
      </c>
      <c r="J19" s="11" t="s">
        <v>1292</v>
      </c>
      <c r="K19" s="11"/>
      <c r="L19" s="11"/>
      <c r="M19" s="11"/>
      <c r="N19" s="11"/>
      <c r="O19" s="11"/>
      <c r="P19" s="11"/>
      <c r="Q19" s="11"/>
      <c r="R19" s="12" t="s">
        <v>54</v>
      </c>
      <c r="S19" s="11"/>
      <c r="T19" s="11" t="s">
        <v>73</v>
      </c>
      <c r="U19" s="11" t="n">
        <f aca="false">COUNTA(K19:P19)</f>
        <v>0</v>
      </c>
      <c r="V19" s="11" t="s">
        <v>1293</v>
      </c>
      <c r="W19" s="13" t="s">
        <v>1231</v>
      </c>
    </row>
    <row r="20" customFormat="false" ht="15" hidden="false" customHeight="false" outlineLevel="0" collapsed="false">
      <c r="A20" s="11" t="n">
        <v>19</v>
      </c>
      <c r="B20" s="11" t="s">
        <v>1294</v>
      </c>
      <c r="C20" s="11" t="s">
        <v>10</v>
      </c>
      <c r="D20" s="11" t="s">
        <v>49</v>
      </c>
      <c r="E20" s="11" t="s">
        <v>1295</v>
      </c>
      <c r="F20" s="11" t="s">
        <v>51</v>
      </c>
      <c r="G20" s="11" t="s">
        <v>1270</v>
      </c>
      <c r="H20" s="11"/>
      <c r="I20" s="11" t="str">
        <f aca="false">IF(OR(G20="Gros",AND(H20&lt;&gt;"",S20="Oui")),"A",IF(OR(G20="Moyen",H20&lt;&gt;""),"B","C"))</f>
        <v>C</v>
      </c>
      <c r="J20" s="11" t="s">
        <v>1296</v>
      </c>
      <c r="K20" s="11"/>
      <c r="L20" s="11"/>
      <c r="M20" s="12" t="s">
        <v>1297</v>
      </c>
      <c r="N20" s="11"/>
      <c r="O20" s="11"/>
      <c r="P20" s="11"/>
      <c r="Q20" s="11"/>
      <c r="R20" s="12" t="s">
        <v>54</v>
      </c>
      <c r="S20" s="11"/>
      <c r="T20" s="11" t="s">
        <v>55</v>
      </c>
      <c r="U20" s="11" t="n">
        <f aca="false">COUNTA(K20:P20)</f>
        <v>1</v>
      </c>
      <c r="V20" s="11"/>
      <c r="W20" s="13" t="s">
        <v>1298</v>
      </c>
    </row>
    <row r="21" customFormat="false" ht="15" hidden="false" customHeight="false" outlineLevel="0" collapsed="false">
      <c r="A21" s="11" t="n">
        <v>20</v>
      </c>
      <c r="B21" s="11" t="s">
        <v>1299</v>
      </c>
      <c r="C21" s="11" t="s">
        <v>10</v>
      </c>
      <c r="D21" s="11" t="s">
        <v>49</v>
      </c>
      <c r="E21" s="11" t="s">
        <v>1300</v>
      </c>
      <c r="F21" s="11" t="s">
        <v>122</v>
      </c>
      <c r="G21" s="11" t="s">
        <v>1270</v>
      </c>
      <c r="H21" s="11"/>
      <c r="I21" s="11" t="str">
        <f aca="false">IF(OR(G21="Gros",AND(H21&lt;&gt;"",S21="Oui")),"A",IF(OR(G21="Moyen",H21&lt;&gt;""),"B","C"))</f>
        <v>C</v>
      </c>
      <c r="J21" s="11" t="s">
        <v>1301</v>
      </c>
      <c r="K21" s="11"/>
      <c r="L21" s="12" t="s">
        <v>1302</v>
      </c>
      <c r="M21" s="11"/>
      <c r="N21" s="11"/>
      <c r="O21" s="11"/>
      <c r="P21" s="11"/>
      <c r="Q21" s="11"/>
      <c r="R21" s="12" t="s">
        <v>54</v>
      </c>
      <c r="S21" s="11"/>
      <c r="T21" s="11" t="s">
        <v>73</v>
      </c>
      <c r="U21" s="11" t="n">
        <f aca="false">COUNTA(K21:P21)</f>
        <v>1</v>
      </c>
      <c r="V21" s="11" t="s">
        <v>1303</v>
      </c>
      <c r="W21" s="13" t="s">
        <v>1304</v>
      </c>
    </row>
    <row r="22" customFormat="false" ht="15" hidden="false" customHeight="false" outlineLevel="0" collapsed="false">
      <c r="A22" s="11" t="n">
        <v>21</v>
      </c>
      <c r="B22" s="11" t="s">
        <v>1305</v>
      </c>
      <c r="C22" s="11" t="s">
        <v>10</v>
      </c>
      <c r="D22" s="11" t="s">
        <v>49</v>
      </c>
      <c r="E22" s="11" t="s">
        <v>1306</v>
      </c>
      <c r="F22" s="11" t="s">
        <v>51</v>
      </c>
      <c r="G22" s="11" t="s">
        <v>1270</v>
      </c>
      <c r="H22" s="11"/>
      <c r="I22" s="11" t="str">
        <f aca="false">IF(OR(G22="Gros",AND(H22&lt;&gt;"",S22="Oui")),"A",IF(OR(G22="Moyen",H22&lt;&gt;""),"B","C"))</f>
        <v>C</v>
      </c>
      <c r="J22" s="11" t="s">
        <v>1307</v>
      </c>
      <c r="K22" s="11"/>
      <c r="L22" s="11"/>
      <c r="M22" s="12" t="s">
        <v>1308</v>
      </c>
      <c r="N22" s="11"/>
      <c r="O22" s="11"/>
      <c r="P22" s="11"/>
      <c r="Q22" s="11"/>
      <c r="R22" s="12" t="s">
        <v>54</v>
      </c>
      <c r="S22" s="11"/>
      <c r="T22" s="11" t="s">
        <v>55</v>
      </c>
      <c r="U22" s="11" t="n">
        <f aca="false">COUNTA(K22:P22)</f>
        <v>1</v>
      </c>
      <c r="V22" s="11"/>
      <c r="W22" s="13" t="s">
        <v>1309</v>
      </c>
    </row>
    <row r="23" customFormat="false" ht="15" hidden="false" customHeight="false" outlineLevel="0" collapsed="false">
      <c r="A23" s="11" t="n">
        <v>22</v>
      </c>
      <c r="B23" s="11" t="s">
        <v>1310</v>
      </c>
      <c r="C23" s="11" t="s">
        <v>10</v>
      </c>
      <c r="D23" s="11" t="s">
        <v>49</v>
      </c>
      <c r="E23" s="11" t="s">
        <v>1311</v>
      </c>
      <c r="F23" s="11" t="s">
        <v>51</v>
      </c>
      <c r="G23" s="11" t="s">
        <v>1270</v>
      </c>
      <c r="H23" s="11"/>
      <c r="I23" s="11" t="str">
        <f aca="false">IF(OR(G23="Gros",AND(H23&lt;&gt;"",S23="Oui")),"A",IF(OR(G23="Moyen",H23&lt;&gt;""),"B","C"))</f>
        <v>C</v>
      </c>
      <c r="J23" s="11" t="s">
        <v>1312</v>
      </c>
      <c r="K23" s="11"/>
      <c r="L23" s="11"/>
      <c r="M23" s="12" t="s">
        <v>1313</v>
      </c>
      <c r="N23" s="11"/>
      <c r="O23" s="11"/>
      <c r="P23" s="11"/>
      <c r="Q23" s="11"/>
      <c r="R23" s="12" t="s">
        <v>54</v>
      </c>
      <c r="S23" s="11"/>
      <c r="T23" s="11" t="s">
        <v>55</v>
      </c>
      <c r="U23" s="11" t="n">
        <f aca="false">COUNTA(K23:P23)</f>
        <v>1</v>
      </c>
      <c r="V23" s="11"/>
      <c r="W23" s="13" t="s">
        <v>1313</v>
      </c>
    </row>
    <row r="24" customFormat="false" ht="15" hidden="false" customHeight="false" outlineLevel="0" collapsed="false">
      <c r="A24" s="11" t="n">
        <v>23</v>
      </c>
      <c r="B24" s="11" t="s">
        <v>1314</v>
      </c>
      <c r="C24" s="11" t="s">
        <v>10</v>
      </c>
      <c r="D24" s="11" t="s">
        <v>49</v>
      </c>
      <c r="E24" s="11"/>
      <c r="F24" s="11" t="s">
        <v>51</v>
      </c>
      <c r="G24" s="11" t="s">
        <v>1270</v>
      </c>
      <c r="H24" s="11"/>
      <c r="I24" s="11" t="str">
        <f aca="false">IF(OR(G24="Gros",AND(H24&lt;&gt;"",S24="Oui")),"A",IF(OR(G24="Moyen",H24&lt;&gt;""),"B","C"))</f>
        <v>C</v>
      </c>
      <c r="J24" s="11" t="s">
        <v>1315</v>
      </c>
      <c r="K24" s="11"/>
      <c r="L24" s="11"/>
      <c r="M24" s="12" t="s">
        <v>1316</v>
      </c>
      <c r="N24" s="11"/>
      <c r="O24" s="11"/>
      <c r="P24" s="11"/>
      <c r="Q24" s="11"/>
      <c r="R24" s="12" t="s">
        <v>54</v>
      </c>
      <c r="S24" s="11"/>
      <c r="T24" s="11" t="s">
        <v>55</v>
      </c>
      <c r="U24" s="11" t="n">
        <f aca="false">COUNTA(K24:P24)</f>
        <v>1</v>
      </c>
      <c r="V24" s="11"/>
      <c r="W24" s="13" t="s">
        <v>1317</v>
      </c>
    </row>
    <row r="25" customFormat="false" ht="15" hidden="false" customHeight="false" outlineLevel="0" collapsed="false">
      <c r="A25" s="11" t="n">
        <v>24</v>
      </c>
      <c r="B25" s="11" t="s">
        <v>1318</v>
      </c>
      <c r="C25" s="11" t="s">
        <v>10</v>
      </c>
      <c r="D25" s="11" t="s">
        <v>49</v>
      </c>
      <c r="E25" s="11"/>
      <c r="F25" s="11" t="s">
        <v>122</v>
      </c>
      <c r="G25" s="11" t="s">
        <v>1270</v>
      </c>
      <c r="H25" s="11"/>
      <c r="I25" s="11" t="str">
        <f aca="false">IF(OR(G25="Gros",AND(H25&lt;&gt;"",S25="Oui")),"A",IF(OR(G25="Moyen",H25&lt;&gt;""),"B","C"))</f>
        <v>C</v>
      </c>
      <c r="J25" s="11" t="s">
        <v>1319</v>
      </c>
      <c r="K25" s="11"/>
      <c r="L25" s="11"/>
      <c r="M25" s="12" t="s">
        <v>1320</v>
      </c>
      <c r="N25" s="11"/>
      <c r="O25" s="11" t="s">
        <v>1321</v>
      </c>
      <c r="P25" s="11"/>
      <c r="Q25" s="11"/>
      <c r="R25" s="12" t="s">
        <v>54</v>
      </c>
      <c r="S25" s="11"/>
      <c r="T25" s="11" t="s">
        <v>55</v>
      </c>
      <c r="U25" s="11" t="n">
        <f aca="false">COUNTA(K25:P25)</f>
        <v>2</v>
      </c>
      <c r="V25" s="11"/>
      <c r="W25" s="13" t="s">
        <v>1322</v>
      </c>
    </row>
    <row r="26" customFormat="false" ht="15" hidden="false" customHeight="false" outlineLevel="0" collapsed="false">
      <c r="A26" s="11" t="n">
        <v>25</v>
      </c>
      <c r="B26" s="11" t="s">
        <v>1323</v>
      </c>
      <c r="C26" s="11" t="s">
        <v>10</v>
      </c>
      <c r="D26" s="11" t="s">
        <v>49</v>
      </c>
      <c r="E26" s="11" t="s">
        <v>1324</v>
      </c>
      <c r="F26" s="11" t="s">
        <v>51</v>
      </c>
      <c r="G26" s="11" t="s">
        <v>1270</v>
      </c>
      <c r="H26" s="11"/>
      <c r="I26" s="11" t="str">
        <f aca="false">IF(OR(G26="Gros",AND(H26&lt;&gt;"",S26="Oui")),"A",IF(OR(G26="Moyen",H26&lt;&gt;""),"B","C"))</f>
        <v>C</v>
      </c>
      <c r="J26" s="11" t="s">
        <v>1325</v>
      </c>
      <c r="K26" s="11"/>
      <c r="L26" s="11"/>
      <c r="M26" s="12" t="s">
        <v>1326</v>
      </c>
      <c r="N26" s="11"/>
      <c r="O26" s="11"/>
      <c r="P26" s="11"/>
      <c r="Q26" s="11"/>
      <c r="R26" s="12" t="s">
        <v>54</v>
      </c>
      <c r="S26" s="11"/>
      <c r="T26" s="11" t="s">
        <v>55</v>
      </c>
      <c r="U26" s="11" t="n">
        <f aca="false">COUNTA(K26:P26)</f>
        <v>1</v>
      </c>
      <c r="V26" s="11"/>
      <c r="W26" s="13" t="s">
        <v>1327</v>
      </c>
    </row>
    <row r="27" customFormat="false" ht="15" hidden="false" customHeight="false" outlineLevel="0" collapsed="false">
      <c r="A27" s="11" t="n">
        <v>26</v>
      </c>
      <c r="B27" s="11" t="s">
        <v>1328</v>
      </c>
      <c r="C27" s="11" t="s">
        <v>10</v>
      </c>
      <c r="D27" s="11" t="s">
        <v>49</v>
      </c>
      <c r="E27" s="11" t="s">
        <v>1329</v>
      </c>
      <c r="F27" s="11" t="s">
        <v>51</v>
      </c>
      <c r="G27" s="11" t="s">
        <v>1270</v>
      </c>
      <c r="H27" s="11"/>
      <c r="I27" s="11" t="str">
        <f aca="false">IF(OR(G27="Gros",AND(H27&lt;&gt;"",S27="Oui")),"A",IF(OR(G27="Moyen",H27&lt;&gt;""),"B","C"))</f>
        <v>C</v>
      </c>
      <c r="J27" s="11" t="s">
        <v>1330</v>
      </c>
      <c r="K27" s="11"/>
      <c r="L27" s="11"/>
      <c r="M27" s="12" t="s">
        <v>1331</v>
      </c>
      <c r="N27" s="11"/>
      <c r="O27" s="11"/>
      <c r="P27" s="11"/>
      <c r="Q27" s="11"/>
      <c r="R27" s="12" t="s">
        <v>54</v>
      </c>
      <c r="S27" s="11"/>
      <c r="T27" s="11" t="s">
        <v>73</v>
      </c>
      <c r="U27" s="11" t="n">
        <f aca="false">COUNTA(K27:P27)</f>
        <v>1</v>
      </c>
      <c r="V27" s="11" t="s">
        <v>1332</v>
      </c>
      <c r="W27" s="13" t="s">
        <v>1333</v>
      </c>
    </row>
    <row r="28" customFormat="false" ht="15" hidden="false" customHeight="false" outlineLevel="0" collapsed="false">
      <c r="A28" s="11" t="n">
        <v>27</v>
      </c>
      <c r="B28" s="11" t="s">
        <v>1334</v>
      </c>
      <c r="C28" s="11" t="s">
        <v>10</v>
      </c>
      <c r="D28" s="11" t="s">
        <v>1335</v>
      </c>
      <c r="E28" s="11"/>
      <c r="F28" s="11" t="s">
        <v>51</v>
      </c>
      <c r="G28" s="11" t="s">
        <v>1270</v>
      </c>
      <c r="H28" s="11"/>
      <c r="I28" s="11" t="str">
        <f aca="false">IF(OR(G28="Gros",AND(H28&lt;&gt;"",S28="Oui")),"A",IF(OR(G28="Moyen",H28&lt;&gt;""),"B","C"))</f>
        <v>C</v>
      </c>
      <c r="J28" s="11" t="s">
        <v>1336</v>
      </c>
      <c r="K28" s="11"/>
      <c r="L28" s="11"/>
      <c r="M28" s="12" t="s">
        <v>1337</v>
      </c>
      <c r="N28" s="11"/>
      <c r="O28" s="11"/>
      <c r="P28" s="11"/>
      <c r="Q28" s="11"/>
      <c r="R28" s="12" t="s">
        <v>54</v>
      </c>
      <c r="S28" s="11"/>
      <c r="T28" s="11" t="s">
        <v>55</v>
      </c>
      <c r="U28" s="11" t="n">
        <f aca="false">COUNTA(K28:P28)</f>
        <v>1</v>
      </c>
      <c r="V28" s="11"/>
      <c r="W28" s="13" t="s">
        <v>1338</v>
      </c>
    </row>
    <row r="29" customFormat="false" ht="15" hidden="false" customHeight="false" outlineLevel="0" collapsed="false">
      <c r="A29" s="11" t="n">
        <v>28</v>
      </c>
      <c r="B29" s="11" t="s">
        <v>1339</v>
      </c>
      <c r="C29" s="11" t="s">
        <v>10</v>
      </c>
      <c r="D29" s="11" t="s">
        <v>217</v>
      </c>
      <c r="E29" s="11" t="s">
        <v>1340</v>
      </c>
      <c r="F29" s="11" t="s">
        <v>122</v>
      </c>
      <c r="G29" s="11" t="s">
        <v>1270</v>
      </c>
      <c r="H29" s="11"/>
      <c r="I29" s="11" t="str">
        <f aca="false">IF(OR(G29="Gros",AND(H29&lt;&gt;"",S29="Oui")),"A",IF(OR(G29="Moyen",H29&lt;&gt;""),"B","C"))</f>
        <v>C</v>
      </c>
      <c r="J29" s="11" t="s">
        <v>1341</v>
      </c>
      <c r="K29" s="11"/>
      <c r="L29" s="12" t="s">
        <v>1342</v>
      </c>
      <c r="M29" s="12" t="s">
        <v>1343</v>
      </c>
      <c r="N29" s="11"/>
      <c r="O29" s="11"/>
      <c r="P29" s="11"/>
      <c r="Q29" s="11" t="s">
        <v>1344</v>
      </c>
      <c r="R29" s="12" t="s">
        <v>54</v>
      </c>
      <c r="S29" s="11"/>
      <c r="T29" s="11" t="s">
        <v>73</v>
      </c>
      <c r="U29" s="11" t="n">
        <f aca="false">COUNTA(K29:P29)</f>
        <v>2</v>
      </c>
      <c r="V29" s="11" t="s">
        <v>1345</v>
      </c>
      <c r="W29" s="13" t="s">
        <v>1346</v>
      </c>
    </row>
    <row r="30" customFormat="false" ht="15" hidden="false" customHeight="false" outlineLevel="0" collapsed="false">
      <c r="A30" s="11" t="n">
        <v>29</v>
      </c>
      <c r="B30" s="11" t="s">
        <v>1347</v>
      </c>
      <c r="C30" s="11" t="s">
        <v>10</v>
      </c>
      <c r="D30" s="11" t="s">
        <v>1348</v>
      </c>
      <c r="E30" s="11"/>
      <c r="F30" s="11" t="s">
        <v>51</v>
      </c>
      <c r="G30" s="11" t="s">
        <v>1270</v>
      </c>
      <c r="H30" s="11"/>
      <c r="I30" s="11" t="str">
        <f aca="false">IF(OR(G30="Gros",AND(H30&lt;&gt;"",S30="Oui")),"A",IF(OR(G30="Moyen",H30&lt;&gt;""),"B","C"))</f>
        <v>C</v>
      </c>
      <c r="J30" s="11" t="s">
        <v>1349</v>
      </c>
      <c r="K30" s="11"/>
      <c r="L30" s="11"/>
      <c r="M30" s="12" t="s">
        <v>1350</v>
      </c>
      <c r="N30" s="11"/>
      <c r="O30" s="11"/>
      <c r="P30" s="11"/>
      <c r="Q30" s="11"/>
      <c r="R30" s="12" t="s">
        <v>54</v>
      </c>
      <c r="S30" s="11"/>
      <c r="T30" s="11" t="s">
        <v>55</v>
      </c>
      <c r="U30" s="11" t="n">
        <f aca="false">COUNTA(K30:P30)</f>
        <v>1</v>
      </c>
      <c r="V30" s="11"/>
      <c r="W30" s="13" t="s">
        <v>1351</v>
      </c>
    </row>
    <row r="31" customFormat="false" ht="15" hidden="false" customHeight="false" outlineLevel="0" collapsed="false">
      <c r="A31" s="11" t="n">
        <v>30</v>
      </c>
      <c r="B31" s="11" t="s">
        <v>1352</v>
      </c>
      <c r="C31" s="11" t="s">
        <v>10</v>
      </c>
      <c r="D31" s="11" t="s">
        <v>1353</v>
      </c>
      <c r="E31" s="11" t="s">
        <v>1354</v>
      </c>
      <c r="F31" s="11" t="s">
        <v>51</v>
      </c>
      <c r="G31" s="11" t="s">
        <v>1270</v>
      </c>
      <c r="H31" s="11"/>
      <c r="I31" s="11" t="str">
        <f aca="false">IF(OR(G31="Gros",AND(H31&lt;&gt;"",S31="Oui")),"A",IF(OR(G31="Moyen",H31&lt;&gt;""),"B","C"))</f>
        <v>C</v>
      </c>
      <c r="J31" s="11" t="s">
        <v>1355</v>
      </c>
      <c r="K31" s="11"/>
      <c r="L31" s="11"/>
      <c r="M31" s="11"/>
      <c r="N31" s="11"/>
      <c r="O31" s="11"/>
      <c r="P31" s="11"/>
      <c r="Q31" s="11"/>
      <c r="R31" s="12" t="s">
        <v>54</v>
      </c>
      <c r="S31" s="11"/>
      <c r="T31" s="11" t="s">
        <v>73</v>
      </c>
      <c r="U31" s="11" t="n">
        <f aca="false">COUNTA(K31:P31)</f>
        <v>0</v>
      </c>
      <c r="V31" s="11" t="s">
        <v>1356</v>
      </c>
      <c r="W31" s="13" t="s">
        <v>1231</v>
      </c>
    </row>
    <row r="32" customFormat="false" ht="15" hidden="false" customHeight="false" outlineLevel="0" collapsed="false">
      <c r="A32" s="11" t="n">
        <v>31</v>
      </c>
      <c r="B32" s="11" t="s">
        <v>1357</v>
      </c>
      <c r="C32" s="11" t="s">
        <v>10</v>
      </c>
      <c r="D32" s="11" t="s">
        <v>1358</v>
      </c>
      <c r="E32" s="11"/>
      <c r="F32" s="11" t="s">
        <v>51</v>
      </c>
      <c r="G32" s="11" t="s">
        <v>1270</v>
      </c>
      <c r="H32" s="11"/>
      <c r="I32" s="11" t="str">
        <f aca="false">IF(OR(G32="Gros",AND(H32&lt;&gt;"",S32="Oui")),"A",IF(OR(G32="Moyen",H32&lt;&gt;""),"B","C"))</f>
        <v>C</v>
      </c>
      <c r="J32" s="11" t="s">
        <v>1359</v>
      </c>
      <c r="K32" s="11"/>
      <c r="L32" s="11"/>
      <c r="M32" s="12" t="s">
        <v>1360</v>
      </c>
      <c r="N32" s="11"/>
      <c r="O32" s="11"/>
      <c r="P32" s="11"/>
      <c r="Q32" s="11"/>
      <c r="R32" s="12" t="s">
        <v>54</v>
      </c>
      <c r="S32" s="11"/>
      <c r="T32" s="11" t="s">
        <v>55</v>
      </c>
      <c r="U32" s="11" t="n">
        <f aca="false">COUNTA(K32:P32)</f>
        <v>1</v>
      </c>
      <c r="V32" s="11"/>
      <c r="W32" s="13" t="s">
        <v>1360</v>
      </c>
    </row>
    <row r="33" customFormat="false" ht="15" hidden="false" customHeight="false" outlineLevel="0" collapsed="false">
      <c r="A33" s="11" t="n">
        <v>32</v>
      </c>
      <c r="B33" s="11" t="s">
        <v>1361</v>
      </c>
      <c r="C33" s="11" t="s">
        <v>10</v>
      </c>
      <c r="D33" s="11" t="s">
        <v>1358</v>
      </c>
      <c r="E33" s="11"/>
      <c r="F33" s="11" t="s">
        <v>290</v>
      </c>
      <c r="G33" s="11" t="s">
        <v>1270</v>
      </c>
      <c r="H33" s="11"/>
      <c r="I33" s="11" t="str">
        <f aca="false">IF(OR(G33="Gros",AND(H33&lt;&gt;"",S33="Oui")),"A",IF(OR(G33="Moyen",H33&lt;&gt;""),"B","C"))</f>
        <v>C</v>
      </c>
      <c r="J33" s="11" t="s">
        <v>1362</v>
      </c>
      <c r="K33" s="11"/>
      <c r="L33" s="11"/>
      <c r="M33" s="12" t="s">
        <v>1363</v>
      </c>
      <c r="N33" s="11"/>
      <c r="O33" s="11"/>
      <c r="P33" s="11"/>
      <c r="Q33" s="11"/>
      <c r="R33" s="11"/>
      <c r="S33" s="11"/>
      <c r="T33" s="11" t="s">
        <v>55</v>
      </c>
      <c r="U33" s="11" t="n">
        <f aca="false">COUNTA(K33:P33)</f>
        <v>1</v>
      </c>
      <c r="V33" s="11" t="s">
        <v>1364</v>
      </c>
      <c r="W33" s="13" t="s">
        <v>1365</v>
      </c>
    </row>
    <row r="34" customFormat="false" ht="15" hidden="false" customHeight="false" outlineLevel="0" collapsed="false">
      <c r="A34" s="11" t="n">
        <v>33</v>
      </c>
      <c r="B34" s="11" t="s">
        <v>1366</v>
      </c>
      <c r="C34" s="11" t="s">
        <v>10</v>
      </c>
      <c r="D34" s="11" t="s">
        <v>1211</v>
      </c>
      <c r="E34" s="11" t="s">
        <v>1367</v>
      </c>
      <c r="F34" s="11" t="s">
        <v>51</v>
      </c>
      <c r="G34" s="11" t="s">
        <v>1270</v>
      </c>
      <c r="H34" s="11"/>
      <c r="I34" s="11" t="str">
        <f aca="false">IF(OR(G34="Gros",AND(H34&lt;&gt;"",S34="Oui")),"A",IF(OR(G34="Moyen",H34&lt;&gt;""),"B","C"))</f>
        <v>C</v>
      </c>
      <c r="J34" s="11" t="s">
        <v>1368</v>
      </c>
      <c r="K34" s="11"/>
      <c r="L34" s="11"/>
      <c r="M34" s="12" t="s">
        <v>1369</v>
      </c>
      <c r="N34" s="11"/>
      <c r="O34" s="11" t="s">
        <v>1370</v>
      </c>
      <c r="P34" s="11" t="s">
        <v>1371</v>
      </c>
      <c r="Q34" s="11"/>
      <c r="R34" s="12" t="s">
        <v>54</v>
      </c>
      <c r="S34" s="11"/>
      <c r="T34" s="11" t="s">
        <v>73</v>
      </c>
      <c r="U34" s="11" t="n">
        <f aca="false">COUNTA(K34:P34)</f>
        <v>3</v>
      </c>
      <c r="V34" s="11" t="s">
        <v>1372</v>
      </c>
      <c r="W34" s="13" t="s">
        <v>1373</v>
      </c>
    </row>
    <row r="35" customFormat="false" ht="15" hidden="false" customHeight="false" outlineLevel="0" collapsed="false">
      <c r="A35" s="11" t="n">
        <v>34</v>
      </c>
      <c r="B35" s="11" t="s">
        <v>1374</v>
      </c>
      <c r="C35" s="11" t="s">
        <v>10</v>
      </c>
      <c r="D35" s="11" t="s">
        <v>252</v>
      </c>
      <c r="E35" s="11" t="s">
        <v>1375</v>
      </c>
      <c r="F35" s="11" t="s">
        <v>51</v>
      </c>
      <c r="G35" s="11" t="s">
        <v>1270</v>
      </c>
      <c r="H35" s="11"/>
      <c r="I35" s="11" t="str">
        <f aca="false">IF(OR(G35="Gros",AND(H35&lt;&gt;"",S35="Oui")),"A",IF(OR(G35="Moyen",H35&lt;&gt;""),"B","C"))</f>
        <v>C</v>
      </c>
      <c r="J35" s="11" t="s">
        <v>1376</v>
      </c>
      <c r="K35" s="11"/>
      <c r="L35" s="11"/>
      <c r="M35" s="12" t="s">
        <v>1377</v>
      </c>
      <c r="N35" s="11"/>
      <c r="O35" s="11" t="s">
        <v>1378</v>
      </c>
      <c r="P35" s="11"/>
      <c r="Q35" s="11"/>
      <c r="R35" s="12" t="s">
        <v>54</v>
      </c>
      <c r="S35" s="11"/>
      <c r="T35" s="11" t="s">
        <v>55</v>
      </c>
      <c r="U35" s="11" t="n">
        <f aca="false">COUNTA(K35:P35)</f>
        <v>2</v>
      </c>
      <c r="V35" s="11"/>
      <c r="W35" s="13" t="s">
        <v>1379</v>
      </c>
    </row>
    <row r="36" customFormat="false" ht="15" hidden="false" customHeight="false" outlineLevel="0" collapsed="false">
      <c r="A36" s="11" t="n">
        <v>35</v>
      </c>
      <c r="B36" s="11" t="s">
        <v>1380</v>
      </c>
      <c r="C36" s="11" t="s">
        <v>10</v>
      </c>
      <c r="D36" s="11" t="s">
        <v>1381</v>
      </c>
      <c r="E36" s="11" t="s">
        <v>1382</v>
      </c>
      <c r="F36" s="11" t="s">
        <v>51</v>
      </c>
      <c r="G36" s="11" t="s">
        <v>1270</v>
      </c>
      <c r="H36" s="11"/>
      <c r="I36" s="11" t="str">
        <f aca="false">IF(OR(G36="Gros",AND(H36&lt;&gt;"",S36="Oui")),"A",IF(OR(G36="Moyen",H36&lt;&gt;""),"B","C"))</f>
        <v>C</v>
      </c>
      <c r="J36" s="11" t="s">
        <v>1383</v>
      </c>
      <c r="K36" s="11"/>
      <c r="L36" s="11"/>
      <c r="M36" s="12" t="s">
        <v>1384</v>
      </c>
      <c r="N36" s="11"/>
      <c r="O36" s="11" t="s">
        <v>1385</v>
      </c>
      <c r="P36" s="11"/>
      <c r="Q36" s="11"/>
      <c r="R36" s="12" t="s">
        <v>54</v>
      </c>
      <c r="S36" s="11"/>
      <c r="T36" s="11" t="s">
        <v>55</v>
      </c>
      <c r="U36" s="11" t="n">
        <f aca="false">COUNTA(K36:P36)</f>
        <v>2</v>
      </c>
      <c r="V36" s="11"/>
      <c r="W36" s="13" t="s">
        <v>1386</v>
      </c>
    </row>
    <row r="37" customFormat="false" ht="15" hidden="false" customHeight="false" outlineLevel="0" collapsed="false">
      <c r="A37" s="11" t="n">
        <v>36</v>
      </c>
      <c r="B37" s="11" t="s">
        <v>1387</v>
      </c>
      <c r="C37" s="11" t="s">
        <v>10</v>
      </c>
      <c r="D37" s="11" t="s">
        <v>1388</v>
      </c>
      <c r="E37" s="11" t="s">
        <v>1389</v>
      </c>
      <c r="F37" s="11" t="s">
        <v>51</v>
      </c>
      <c r="G37" s="11" t="s">
        <v>1270</v>
      </c>
      <c r="H37" s="11"/>
      <c r="I37" s="11" t="str">
        <f aca="false">IF(OR(G37="Gros",AND(H37&lt;&gt;"",S37="Oui")),"A",IF(OR(G37="Moyen",H37&lt;&gt;""),"B","C"))</f>
        <v>C</v>
      </c>
      <c r="J37" s="11" t="s">
        <v>1390</v>
      </c>
      <c r="K37" s="11"/>
      <c r="L37" s="11"/>
      <c r="M37" s="12" t="s">
        <v>1391</v>
      </c>
      <c r="N37" s="11"/>
      <c r="O37" s="11" t="s">
        <v>1392</v>
      </c>
      <c r="P37" s="11"/>
      <c r="Q37" s="11"/>
      <c r="R37" s="12" t="s">
        <v>54</v>
      </c>
      <c r="S37" s="11"/>
      <c r="T37" s="11" t="s">
        <v>73</v>
      </c>
      <c r="U37" s="11" t="n">
        <f aca="false">COUNTA(K37:P37)</f>
        <v>2</v>
      </c>
      <c r="V37" s="11" t="s">
        <v>1393</v>
      </c>
      <c r="W37" s="13" t="s">
        <v>1394</v>
      </c>
    </row>
    <row r="38" customFormat="false" ht="15" hidden="false" customHeight="false" outlineLevel="0" collapsed="false">
      <c r="A38" s="11" t="n">
        <v>37</v>
      </c>
      <c r="B38" s="11" t="s">
        <v>1395</v>
      </c>
      <c r="C38" s="11" t="s">
        <v>10</v>
      </c>
      <c r="D38" s="11" t="s">
        <v>1396</v>
      </c>
      <c r="E38" s="11" t="s">
        <v>1397</v>
      </c>
      <c r="F38" s="11" t="s">
        <v>51</v>
      </c>
      <c r="G38" s="11" t="s">
        <v>1270</v>
      </c>
      <c r="H38" s="11"/>
      <c r="I38" s="11" t="str">
        <f aca="false">IF(OR(G38="Gros",AND(H38&lt;&gt;"",S38="Oui")),"A",IF(OR(G38="Moyen",H38&lt;&gt;""),"B","C"))</f>
        <v>C</v>
      </c>
      <c r="J38" s="11" t="s">
        <v>1398</v>
      </c>
      <c r="K38" s="11"/>
      <c r="L38" s="11"/>
      <c r="M38" s="12" t="s">
        <v>1399</v>
      </c>
      <c r="N38" s="11"/>
      <c r="O38" s="11"/>
      <c r="P38" s="11"/>
      <c r="Q38" s="11"/>
      <c r="R38" s="12" t="s">
        <v>54</v>
      </c>
      <c r="S38" s="11"/>
      <c r="T38" s="11" t="s">
        <v>55</v>
      </c>
      <c r="U38" s="11" t="n">
        <f aca="false">COUNTA(K38:P38)</f>
        <v>1</v>
      </c>
      <c r="V38" s="11"/>
      <c r="W38" s="13" t="s">
        <v>1400</v>
      </c>
    </row>
    <row r="39" customFormat="false" ht="15" hidden="false" customHeight="false" outlineLevel="0" collapsed="false">
      <c r="A39" s="11" t="n">
        <v>38</v>
      </c>
      <c r="B39" s="11" t="s">
        <v>1401</v>
      </c>
      <c r="C39" s="11" t="s">
        <v>10</v>
      </c>
      <c r="D39" s="11"/>
      <c r="E39" s="11"/>
      <c r="F39" s="11" t="s">
        <v>51</v>
      </c>
      <c r="G39" s="11" t="s">
        <v>1402</v>
      </c>
      <c r="H39" s="11"/>
      <c r="I39" s="11" t="str">
        <f aca="false">IF(OR(G39="Gros",AND(H39&lt;&gt;"",S39="Oui")),"A",IF(OR(G39="Moyen",H39&lt;&gt;""),"B","C"))</f>
        <v>C</v>
      </c>
      <c r="J39" s="11" t="s">
        <v>1403</v>
      </c>
      <c r="K39" s="11"/>
      <c r="L39" s="11"/>
      <c r="M39" s="12" t="s">
        <v>1404</v>
      </c>
      <c r="N39" s="11"/>
      <c r="O39" s="11"/>
      <c r="P39" s="11"/>
      <c r="Q39" s="11"/>
      <c r="R39" s="12" t="s">
        <v>54</v>
      </c>
      <c r="S39" s="11"/>
      <c r="T39" s="11" t="s">
        <v>55</v>
      </c>
      <c r="U39" s="11" t="n">
        <f aca="false">COUNTA(K39:P39)</f>
        <v>1</v>
      </c>
      <c r="V39" s="11"/>
      <c r="W39" s="13" t="s">
        <v>1405</v>
      </c>
    </row>
    <row r="40" customFormat="false" ht="15" hidden="false" customHeight="false" outlineLevel="0" collapsed="false">
      <c r="A40" s="11" t="n">
        <v>39</v>
      </c>
      <c r="B40" s="11" t="s">
        <v>1406</v>
      </c>
      <c r="C40" s="11" t="s">
        <v>10</v>
      </c>
      <c r="D40" s="11"/>
      <c r="E40" s="11"/>
      <c r="F40" s="11" t="s">
        <v>133</v>
      </c>
      <c r="G40" s="11" t="s">
        <v>1402</v>
      </c>
      <c r="H40" s="11"/>
      <c r="I40" s="11" t="str">
        <f aca="false">IF(OR(G40="Gros",AND(H40&lt;&gt;"",S40="Oui")),"A",IF(OR(G40="Moyen",H40&lt;&gt;""),"B","C"))</f>
        <v>C</v>
      </c>
      <c r="J40" s="11" t="s">
        <v>1407</v>
      </c>
      <c r="K40" s="11"/>
      <c r="L40" s="11"/>
      <c r="M40" s="12" t="s">
        <v>1408</v>
      </c>
      <c r="N40" s="11"/>
      <c r="O40" s="11"/>
      <c r="P40" s="11"/>
      <c r="Q40" s="11"/>
      <c r="R40" s="11"/>
      <c r="S40" s="11"/>
      <c r="T40" s="11" t="s">
        <v>55</v>
      </c>
      <c r="U40" s="11" t="n">
        <f aca="false">COUNTA(K40:P40)</f>
        <v>1</v>
      </c>
      <c r="V40" s="11"/>
      <c r="W40" s="13" t="s">
        <v>1409</v>
      </c>
    </row>
    <row r="41" customFormat="false" ht="15" hidden="false" customHeight="false" outlineLevel="0" collapsed="false">
      <c r="A41" s="11" t="n">
        <v>40</v>
      </c>
      <c r="B41" s="11" t="s">
        <v>1410</v>
      </c>
      <c r="C41" s="11" t="s">
        <v>10</v>
      </c>
      <c r="D41" s="11"/>
      <c r="E41" s="11"/>
      <c r="F41" s="11" t="s">
        <v>133</v>
      </c>
      <c r="G41" s="11" t="s">
        <v>1402</v>
      </c>
      <c r="H41" s="11"/>
      <c r="I41" s="11" t="str">
        <f aca="false">IF(OR(G41="Gros",AND(H41&lt;&gt;"",S41="Oui")),"A",IF(OR(G41="Moyen",H41&lt;&gt;""),"B","C"))</f>
        <v>C</v>
      </c>
      <c r="J41" s="11" t="s">
        <v>1411</v>
      </c>
      <c r="K41" s="11"/>
      <c r="L41" s="11"/>
      <c r="M41" s="12" t="s">
        <v>1412</v>
      </c>
      <c r="N41" s="11"/>
      <c r="O41" s="11"/>
      <c r="P41" s="11"/>
      <c r="Q41" s="11"/>
      <c r="R41" s="11"/>
      <c r="S41" s="11"/>
      <c r="T41" s="11" t="s">
        <v>55</v>
      </c>
      <c r="U41" s="11" t="n">
        <f aca="false">COUNTA(K41:P41)</f>
        <v>1</v>
      </c>
      <c r="V41" s="11"/>
      <c r="W41" s="13" t="s">
        <v>1413</v>
      </c>
    </row>
    <row r="42" customFormat="false" ht="15" hidden="false" customHeight="false" outlineLevel="0" collapsed="false">
      <c r="A42" s="11" t="n">
        <v>41</v>
      </c>
      <c r="B42" s="11" t="s">
        <v>1414</v>
      </c>
      <c r="C42" s="11" t="s">
        <v>10</v>
      </c>
      <c r="D42" s="11"/>
      <c r="E42" s="11"/>
      <c r="F42" s="11" t="s">
        <v>51</v>
      </c>
      <c r="G42" s="11" t="s">
        <v>1402</v>
      </c>
      <c r="H42" s="11"/>
      <c r="I42" s="11" t="str">
        <f aca="false">IF(OR(G42="Gros",AND(H42&lt;&gt;"",S42="Oui")),"A",IF(OR(G42="Moyen",H42&lt;&gt;""),"B","C"))</f>
        <v>C</v>
      </c>
      <c r="J42" s="11" t="s">
        <v>1415</v>
      </c>
      <c r="K42" s="11"/>
      <c r="L42" s="11"/>
      <c r="M42" s="12" t="s">
        <v>1416</v>
      </c>
      <c r="N42" s="11"/>
      <c r="O42" s="11"/>
      <c r="P42" s="11"/>
      <c r="Q42" s="11"/>
      <c r="R42" s="12" t="s">
        <v>54</v>
      </c>
      <c r="S42" s="11"/>
      <c r="T42" s="11" t="s">
        <v>55</v>
      </c>
      <c r="U42" s="11" t="n">
        <f aca="false">COUNTA(K42:P42)</f>
        <v>1</v>
      </c>
      <c r="V42" s="11"/>
      <c r="W42" s="13" t="s">
        <v>1416</v>
      </c>
    </row>
    <row r="43" customFormat="false" ht="15" hidden="false" customHeight="false" outlineLevel="0" collapsed="false">
      <c r="A43" s="11" t="n">
        <v>42</v>
      </c>
      <c r="B43" s="11" t="s">
        <v>1417</v>
      </c>
      <c r="C43" s="11" t="s">
        <v>10</v>
      </c>
      <c r="D43" s="11"/>
      <c r="E43" s="11"/>
      <c r="F43" s="11" t="s">
        <v>133</v>
      </c>
      <c r="G43" s="11" t="s">
        <v>1402</v>
      </c>
      <c r="H43" s="11"/>
      <c r="I43" s="11" t="str">
        <f aca="false">IF(OR(G43="Gros",AND(H43&lt;&gt;"",S43="Oui")),"A",IF(OR(G43="Moyen",H43&lt;&gt;""),"B","C"))</f>
        <v>C</v>
      </c>
      <c r="J43" s="11" t="s">
        <v>1418</v>
      </c>
      <c r="K43" s="11"/>
      <c r="L43" s="11"/>
      <c r="M43" s="12" t="s">
        <v>1419</v>
      </c>
      <c r="N43" s="11"/>
      <c r="O43" s="11"/>
      <c r="P43" s="11"/>
      <c r="Q43" s="11"/>
      <c r="R43" s="11"/>
      <c r="S43" s="11"/>
      <c r="T43" s="11" t="s">
        <v>55</v>
      </c>
      <c r="U43" s="11" t="n">
        <f aca="false">COUNTA(K43:P43)</f>
        <v>1</v>
      </c>
      <c r="V43" s="11"/>
      <c r="W43" s="13" t="s">
        <v>1420</v>
      </c>
    </row>
    <row r="44" customFormat="false" ht="15" hidden="false" customHeight="false" outlineLevel="0" collapsed="false">
      <c r="A44" s="11" t="n">
        <v>43</v>
      </c>
      <c r="B44" s="11" t="s">
        <v>1421</v>
      </c>
      <c r="C44" s="11" t="s">
        <v>10</v>
      </c>
      <c r="D44" s="11" t="s">
        <v>49</v>
      </c>
      <c r="E44" s="11"/>
      <c r="F44" s="11" t="s">
        <v>51</v>
      </c>
      <c r="G44" s="11" t="s">
        <v>1402</v>
      </c>
      <c r="H44" s="11"/>
      <c r="I44" s="11" t="str">
        <f aca="false">IF(OR(G44="Gros",AND(H44&lt;&gt;"",S44="Oui")),"A",IF(OR(G44="Moyen",H44&lt;&gt;""),"B","C"))</f>
        <v>C</v>
      </c>
      <c r="J44" s="11" t="s">
        <v>1422</v>
      </c>
      <c r="K44" s="11"/>
      <c r="L44" s="11"/>
      <c r="M44" s="11"/>
      <c r="N44" s="11"/>
      <c r="O44" s="11"/>
      <c r="P44" s="11"/>
      <c r="Q44" s="11"/>
      <c r="R44" s="12" t="s">
        <v>54</v>
      </c>
      <c r="S44" s="11"/>
      <c r="T44" s="11" t="s">
        <v>55</v>
      </c>
      <c r="U44" s="11" t="n">
        <f aca="false">COUNTA(K44:P44)</f>
        <v>0</v>
      </c>
      <c r="V44" s="11" t="s">
        <v>1423</v>
      </c>
      <c r="W44" s="13" t="s">
        <v>1424</v>
      </c>
    </row>
    <row r="45" customFormat="false" ht="15" hidden="false" customHeight="false" outlineLevel="0" collapsed="false">
      <c r="A45" s="11" t="n">
        <v>44</v>
      </c>
      <c r="B45" s="11" t="s">
        <v>1425</v>
      </c>
      <c r="C45" s="11" t="s">
        <v>10</v>
      </c>
      <c r="D45" s="11" t="s">
        <v>49</v>
      </c>
      <c r="E45" s="11"/>
      <c r="F45" s="11" t="s">
        <v>51</v>
      </c>
      <c r="G45" s="11" t="s">
        <v>1402</v>
      </c>
      <c r="H45" s="11"/>
      <c r="I45" s="11" t="str">
        <f aca="false">IF(OR(G45="Gros",AND(H45&lt;&gt;"",S45="Oui")),"A",IF(OR(G45="Moyen",H45&lt;&gt;""),"B","C"))</f>
        <v>C</v>
      </c>
      <c r="J45" s="11" t="s">
        <v>1426</v>
      </c>
      <c r="K45" s="11"/>
      <c r="L45" s="11"/>
      <c r="M45" s="11"/>
      <c r="N45" s="11"/>
      <c r="O45" s="11"/>
      <c r="P45" s="11"/>
      <c r="Q45" s="11"/>
      <c r="R45" s="12" t="s">
        <v>54</v>
      </c>
      <c r="S45" s="11"/>
      <c r="T45" s="11" t="s">
        <v>55</v>
      </c>
      <c r="U45" s="11" t="n">
        <f aca="false">COUNTA(K45:P45)</f>
        <v>0</v>
      </c>
      <c r="V45" s="11" t="s">
        <v>1423</v>
      </c>
      <c r="W45" s="13" t="s">
        <v>1424</v>
      </c>
    </row>
    <row r="46" customFormat="false" ht="15" hidden="false" customHeight="false" outlineLevel="0" collapsed="false">
      <c r="A46" s="11" t="n">
        <v>45</v>
      </c>
      <c r="B46" s="11" t="s">
        <v>1427</v>
      </c>
      <c r="C46" s="11" t="s">
        <v>10</v>
      </c>
      <c r="D46" s="11" t="s">
        <v>49</v>
      </c>
      <c r="E46" s="11" t="s">
        <v>1428</v>
      </c>
      <c r="F46" s="11" t="s">
        <v>1241</v>
      </c>
      <c r="G46" s="11" t="s">
        <v>1402</v>
      </c>
      <c r="H46" s="11"/>
      <c r="I46" s="11" t="str">
        <f aca="false">IF(OR(G46="Gros",AND(H46&lt;&gt;"",S46="Oui")),"A",IF(OR(G46="Moyen",H46&lt;&gt;""),"B","C"))</f>
        <v>C</v>
      </c>
      <c r="J46" s="11" t="s">
        <v>1429</v>
      </c>
      <c r="K46" s="11"/>
      <c r="L46" s="12" t="s">
        <v>1430</v>
      </c>
      <c r="M46" s="12" t="s">
        <v>1431</v>
      </c>
      <c r="N46" s="11"/>
      <c r="O46" s="11"/>
      <c r="P46" s="11"/>
      <c r="Q46" s="11"/>
      <c r="R46" s="12" t="s">
        <v>54</v>
      </c>
      <c r="S46" s="11"/>
      <c r="T46" s="11" t="s">
        <v>73</v>
      </c>
      <c r="U46" s="11" t="n">
        <f aca="false">COUNTA(K46:P46)</f>
        <v>2</v>
      </c>
      <c r="V46" s="11" t="s">
        <v>1432</v>
      </c>
      <c r="W46" s="13" t="s">
        <v>1433</v>
      </c>
    </row>
    <row r="47" customFormat="false" ht="15" hidden="false" customHeight="false" outlineLevel="0" collapsed="false">
      <c r="A47" s="11" t="n">
        <v>46</v>
      </c>
      <c r="B47" s="11" t="s">
        <v>1434</v>
      </c>
      <c r="C47" s="11" t="s">
        <v>11</v>
      </c>
      <c r="D47" s="11" t="s">
        <v>259</v>
      </c>
      <c r="E47" s="11" t="s">
        <v>1435</v>
      </c>
      <c r="F47" s="11" t="s">
        <v>122</v>
      </c>
      <c r="G47" s="11" t="s">
        <v>1179</v>
      </c>
      <c r="H47" s="11"/>
      <c r="I47" s="11" t="str">
        <f aca="false">IF(OR(G47="Gros",AND(H47&lt;&gt;"",S47="Oui")),"A",IF(OR(G47="Moyen",H47&lt;&gt;""),"B","C"))</f>
        <v>A</v>
      </c>
      <c r="J47" s="11" t="s">
        <v>1436</v>
      </c>
      <c r="K47" s="12" t="s">
        <v>1437</v>
      </c>
      <c r="L47" s="11"/>
      <c r="M47" s="11"/>
      <c r="N47" s="11"/>
      <c r="O47" s="11"/>
      <c r="P47" s="11"/>
      <c r="Q47" s="11"/>
      <c r="R47" s="12" t="s">
        <v>54</v>
      </c>
      <c r="S47" s="11"/>
      <c r="T47" s="11" t="s">
        <v>73</v>
      </c>
      <c r="U47" s="11" t="n">
        <f aca="false">COUNTA(K47:P47)</f>
        <v>1</v>
      </c>
      <c r="V47" s="11" t="s">
        <v>1438</v>
      </c>
      <c r="W47" s="13" t="s">
        <v>1439</v>
      </c>
    </row>
    <row r="48" customFormat="false" ht="15" hidden="false" customHeight="false" outlineLevel="0" collapsed="false">
      <c r="A48" s="11" t="n">
        <v>47</v>
      </c>
      <c r="B48" s="11" t="s">
        <v>1440</v>
      </c>
      <c r="C48" s="11" t="s">
        <v>11</v>
      </c>
      <c r="D48" s="11" t="s">
        <v>341</v>
      </c>
      <c r="E48" s="11" t="s">
        <v>1441</v>
      </c>
      <c r="F48" s="11" t="s">
        <v>321</v>
      </c>
      <c r="G48" s="11" t="s">
        <v>1179</v>
      </c>
      <c r="H48" s="11"/>
      <c r="I48" s="11" t="str">
        <f aca="false">IF(OR(G48="Gros",AND(H48&lt;&gt;"",S48="Oui")),"A",IF(OR(G48="Moyen",H48&lt;&gt;""),"B","C"))</f>
        <v>A</v>
      </c>
      <c r="J48" s="11" t="s">
        <v>1442</v>
      </c>
      <c r="K48" s="12" t="s">
        <v>1443</v>
      </c>
      <c r="L48" s="11"/>
      <c r="M48" s="11"/>
      <c r="N48" s="11"/>
      <c r="O48" s="11"/>
      <c r="P48" s="11"/>
      <c r="Q48" s="11"/>
      <c r="R48" s="12" t="s">
        <v>54</v>
      </c>
      <c r="S48" s="11"/>
      <c r="T48" s="11" t="s">
        <v>73</v>
      </c>
      <c r="U48" s="11" t="n">
        <f aca="false">COUNTA(K48:P48)</f>
        <v>1</v>
      </c>
      <c r="V48" s="11" t="s">
        <v>1444</v>
      </c>
      <c r="W48" s="13" t="s">
        <v>1445</v>
      </c>
    </row>
    <row r="49" customFormat="false" ht="15" hidden="false" customHeight="false" outlineLevel="0" collapsed="false">
      <c r="A49" s="11" t="n">
        <v>48</v>
      </c>
      <c r="B49" s="11" t="s">
        <v>1446</v>
      </c>
      <c r="C49" s="11" t="s">
        <v>11</v>
      </c>
      <c r="D49" s="11" t="s">
        <v>341</v>
      </c>
      <c r="E49" s="11" t="s">
        <v>1447</v>
      </c>
      <c r="F49" s="11" t="s">
        <v>51</v>
      </c>
      <c r="G49" s="11" t="s">
        <v>1179</v>
      </c>
      <c r="H49" s="11"/>
      <c r="I49" s="11" t="str">
        <f aca="false">IF(OR(G49="Gros",AND(H49&lt;&gt;"",S49="Oui")),"A",IF(OR(G49="Moyen",H49&lt;&gt;""),"B","C"))</f>
        <v>A</v>
      </c>
      <c r="J49" s="11" t="s">
        <v>1448</v>
      </c>
      <c r="K49" s="11"/>
      <c r="L49" s="11"/>
      <c r="M49" s="11"/>
      <c r="N49" s="11"/>
      <c r="O49" s="11"/>
      <c r="P49" s="11"/>
      <c r="Q49" s="11"/>
      <c r="R49" s="12" t="s">
        <v>54</v>
      </c>
      <c r="S49" s="11"/>
      <c r="T49" s="11" t="s">
        <v>73</v>
      </c>
      <c r="U49" s="11" t="n">
        <f aca="false">COUNTA(K49:P49)</f>
        <v>0</v>
      </c>
      <c r="V49" s="11" t="s">
        <v>1449</v>
      </c>
      <c r="W49" s="13" t="s">
        <v>1450</v>
      </c>
    </row>
    <row r="50" customFormat="false" ht="15" hidden="false" customHeight="false" outlineLevel="0" collapsed="false">
      <c r="A50" s="11" t="n">
        <v>49</v>
      </c>
      <c r="B50" s="11" t="s">
        <v>1451</v>
      </c>
      <c r="C50" s="11" t="s">
        <v>11</v>
      </c>
      <c r="D50" s="11" t="s">
        <v>1452</v>
      </c>
      <c r="E50" s="11" t="s">
        <v>1453</v>
      </c>
      <c r="F50" s="11" t="s">
        <v>321</v>
      </c>
      <c r="G50" s="11" t="s">
        <v>1179</v>
      </c>
      <c r="H50" s="11"/>
      <c r="I50" s="11" t="str">
        <f aca="false">IF(OR(G50="Gros",AND(H50&lt;&gt;"",S50="Oui")),"A",IF(OR(G50="Moyen",H50&lt;&gt;""),"B","C"))</f>
        <v>A</v>
      </c>
      <c r="J50" s="11" t="s">
        <v>1454</v>
      </c>
      <c r="K50" s="11"/>
      <c r="L50" s="11"/>
      <c r="M50" s="11"/>
      <c r="N50" s="11"/>
      <c r="O50" s="11"/>
      <c r="P50" s="11"/>
      <c r="Q50" s="11"/>
      <c r="R50" s="12" t="s">
        <v>54</v>
      </c>
      <c r="S50" s="11"/>
      <c r="T50" s="11" t="s">
        <v>73</v>
      </c>
      <c r="U50" s="11" t="n">
        <f aca="false">COUNTA(K50:P50)</f>
        <v>0</v>
      </c>
      <c r="V50" s="11" t="s">
        <v>1455</v>
      </c>
      <c r="W50" s="13" t="s">
        <v>1456</v>
      </c>
    </row>
    <row r="51" customFormat="false" ht="15" hidden="false" customHeight="false" outlineLevel="0" collapsed="false">
      <c r="A51" s="11" t="n">
        <v>50</v>
      </c>
      <c r="B51" s="11" t="s">
        <v>1457</v>
      </c>
      <c r="C51" s="11" t="s">
        <v>11</v>
      </c>
      <c r="D51" s="11" t="s">
        <v>259</v>
      </c>
      <c r="E51" s="11" t="s">
        <v>1458</v>
      </c>
      <c r="F51" s="11" t="s">
        <v>122</v>
      </c>
      <c r="G51" s="11" t="s">
        <v>1228</v>
      </c>
      <c r="H51" s="11"/>
      <c r="I51" s="11" t="str">
        <f aca="false">IF(OR(G51="Gros",AND(H51&lt;&gt;"",S51="Oui")),"A",IF(OR(G51="Moyen",H51&lt;&gt;""),"B","C"))</f>
        <v>B</v>
      </c>
      <c r="J51" s="11" t="s">
        <v>1459</v>
      </c>
      <c r="K51" s="12" t="s">
        <v>1460</v>
      </c>
      <c r="L51" s="11"/>
      <c r="M51" s="12" t="s">
        <v>1461</v>
      </c>
      <c r="N51" s="11"/>
      <c r="O51" s="11" t="s">
        <v>1462</v>
      </c>
      <c r="P51" s="11"/>
      <c r="Q51" s="11"/>
      <c r="R51" s="12" t="s">
        <v>54</v>
      </c>
      <c r="S51" s="11"/>
      <c r="T51" s="11" t="s">
        <v>73</v>
      </c>
      <c r="U51" s="11" t="n">
        <f aca="false">COUNTA(K51:P51)</f>
        <v>3</v>
      </c>
      <c r="V51" s="11" t="s">
        <v>1463</v>
      </c>
      <c r="W51" s="13" t="s">
        <v>1464</v>
      </c>
    </row>
    <row r="52" customFormat="false" ht="15" hidden="false" customHeight="false" outlineLevel="0" collapsed="false">
      <c r="A52" s="11" t="n">
        <v>51</v>
      </c>
      <c r="B52" s="11" t="s">
        <v>1465</v>
      </c>
      <c r="C52" s="11" t="s">
        <v>11</v>
      </c>
      <c r="D52" s="11" t="s">
        <v>259</v>
      </c>
      <c r="E52" s="11" t="s">
        <v>1466</v>
      </c>
      <c r="F52" s="11" t="s">
        <v>51</v>
      </c>
      <c r="G52" s="11" t="s">
        <v>1228</v>
      </c>
      <c r="H52" s="11"/>
      <c r="I52" s="11" t="str">
        <f aca="false">IF(OR(G52="Gros",AND(H52&lt;&gt;"",S52="Oui")),"A",IF(OR(G52="Moyen",H52&lt;&gt;""),"B","C"))</f>
        <v>B</v>
      </c>
      <c r="J52" s="11" t="s">
        <v>1467</v>
      </c>
      <c r="K52" s="11"/>
      <c r="L52" s="11"/>
      <c r="M52" s="12" t="s">
        <v>1468</v>
      </c>
      <c r="N52" s="11"/>
      <c r="O52" s="11" t="s">
        <v>1469</v>
      </c>
      <c r="P52" s="11"/>
      <c r="Q52" s="11"/>
      <c r="R52" s="12" t="s">
        <v>54</v>
      </c>
      <c r="S52" s="11"/>
      <c r="T52" s="11" t="s">
        <v>73</v>
      </c>
      <c r="U52" s="11" t="n">
        <f aca="false">COUNTA(K52:P52)</f>
        <v>2</v>
      </c>
      <c r="V52" s="11" t="s">
        <v>1470</v>
      </c>
      <c r="W52" s="13" t="s">
        <v>1471</v>
      </c>
    </row>
    <row r="53" customFormat="false" ht="15" hidden="false" customHeight="false" outlineLevel="0" collapsed="false">
      <c r="A53" s="11" t="n">
        <v>52</v>
      </c>
      <c r="B53" s="11" t="s">
        <v>1472</v>
      </c>
      <c r="C53" s="11" t="s">
        <v>11</v>
      </c>
      <c r="D53" s="11" t="s">
        <v>341</v>
      </c>
      <c r="E53" s="11" t="s">
        <v>1473</v>
      </c>
      <c r="F53" s="11" t="s">
        <v>122</v>
      </c>
      <c r="G53" s="11" t="s">
        <v>1228</v>
      </c>
      <c r="H53" s="11" t="s">
        <v>1474</v>
      </c>
      <c r="I53" s="11" t="str">
        <f aca="false">IF(OR(G53="Gros",AND(H53&lt;&gt;"",S53="Oui")),"A",IF(OR(G53="Moyen",H53&lt;&gt;""),"B","C"))</f>
        <v>B</v>
      </c>
      <c r="J53" s="11" t="s">
        <v>1475</v>
      </c>
      <c r="K53" s="11"/>
      <c r="L53" s="11"/>
      <c r="M53" s="12" t="s">
        <v>1476</v>
      </c>
      <c r="N53" s="11"/>
      <c r="O53" s="11"/>
      <c r="P53" s="11"/>
      <c r="Q53" s="11"/>
      <c r="R53" s="12" t="s">
        <v>54</v>
      </c>
      <c r="S53" s="11"/>
      <c r="T53" s="11" t="s">
        <v>73</v>
      </c>
      <c r="U53" s="11" t="n">
        <f aca="false">COUNTA(K53:P53)</f>
        <v>1</v>
      </c>
      <c r="V53" s="11" t="s">
        <v>1477</v>
      </c>
      <c r="W53" s="13" t="s">
        <v>1478</v>
      </c>
    </row>
    <row r="54" customFormat="false" ht="15" hidden="false" customHeight="false" outlineLevel="0" collapsed="false">
      <c r="A54" s="11" t="n">
        <v>53</v>
      </c>
      <c r="B54" s="11" t="s">
        <v>1479</v>
      </c>
      <c r="C54" s="11" t="s">
        <v>11</v>
      </c>
      <c r="D54" s="11" t="s">
        <v>341</v>
      </c>
      <c r="E54" s="11"/>
      <c r="F54" s="11" t="s">
        <v>51</v>
      </c>
      <c r="G54" s="11" t="s">
        <v>1228</v>
      </c>
      <c r="H54" s="11" t="s">
        <v>1480</v>
      </c>
      <c r="I54" s="11" t="str">
        <f aca="false">IF(OR(G54="Gros",AND(H54&lt;&gt;"",S54="Oui")),"A",IF(OR(G54="Moyen",H54&lt;&gt;""),"B","C"))</f>
        <v>B</v>
      </c>
      <c r="J54" s="11" t="s">
        <v>1481</v>
      </c>
      <c r="K54" s="11"/>
      <c r="L54" s="11"/>
      <c r="M54" s="11"/>
      <c r="N54" s="11"/>
      <c r="O54" s="11"/>
      <c r="P54" s="11"/>
      <c r="Q54" s="11"/>
      <c r="R54" s="12" t="s">
        <v>54</v>
      </c>
      <c r="S54" s="11"/>
      <c r="T54" s="11" t="s">
        <v>55</v>
      </c>
      <c r="U54" s="11" t="n">
        <f aca="false">COUNTA(K54:P54)</f>
        <v>0</v>
      </c>
      <c r="V54" s="11" t="s">
        <v>1482</v>
      </c>
      <c r="W54" s="13" t="s">
        <v>1483</v>
      </c>
    </row>
    <row r="55" customFormat="false" ht="15" hidden="false" customHeight="false" outlineLevel="0" collapsed="false">
      <c r="A55" s="11" t="n">
        <v>54</v>
      </c>
      <c r="B55" s="11" t="s">
        <v>1484</v>
      </c>
      <c r="C55" s="11" t="s">
        <v>11</v>
      </c>
      <c r="D55" s="11" t="s">
        <v>341</v>
      </c>
      <c r="E55" s="11" t="s">
        <v>1485</v>
      </c>
      <c r="F55" s="11" t="s">
        <v>51</v>
      </c>
      <c r="G55" s="11" t="s">
        <v>1228</v>
      </c>
      <c r="H55" s="11"/>
      <c r="I55" s="11" t="str">
        <f aca="false">IF(OR(G55="Gros",AND(H55&lt;&gt;"",S55="Oui")),"A",IF(OR(G55="Moyen",H55&lt;&gt;""),"B","C"))</f>
        <v>B</v>
      </c>
      <c r="J55" s="11" t="s">
        <v>1486</v>
      </c>
      <c r="K55" s="11"/>
      <c r="L55" s="11"/>
      <c r="M55" s="11"/>
      <c r="N55" s="11"/>
      <c r="O55" s="11"/>
      <c r="P55" s="11"/>
      <c r="Q55" s="11"/>
      <c r="R55" s="12" t="s">
        <v>54</v>
      </c>
      <c r="S55" s="11"/>
      <c r="T55" s="11" t="s">
        <v>73</v>
      </c>
      <c r="U55" s="11" t="n">
        <f aca="false">COUNTA(K55:P55)</f>
        <v>0</v>
      </c>
      <c r="V55" s="11" t="s">
        <v>1487</v>
      </c>
      <c r="W55" s="13" t="s">
        <v>1439</v>
      </c>
    </row>
    <row r="56" customFormat="false" ht="15" hidden="false" customHeight="false" outlineLevel="0" collapsed="false">
      <c r="A56" s="11" t="n">
        <v>55</v>
      </c>
      <c r="B56" s="11" t="s">
        <v>1488</v>
      </c>
      <c r="C56" s="11" t="s">
        <v>11</v>
      </c>
      <c r="D56" s="11" t="s">
        <v>1489</v>
      </c>
      <c r="E56" s="11" t="s">
        <v>1490</v>
      </c>
      <c r="F56" s="11" t="s">
        <v>133</v>
      </c>
      <c r="G56" s="11" t="s">
        <v>1270</v>
      </c>
      <c r="H56" s="11"/>
      <c r="I56" s="11" t="str">
        <f aca="false">IF(OR(G56="Gros",AND(H56&lt;&gt;"",S56="Oui")),"A",IF(OR(G56="Moyen",H56&lt;&gt;""),"B","C"))</f>
        <v>C</v>
      </c>
      <c r="J56" s="11" t="s">
        <v>1491</v>
      </c>
      <c r="K56" s="11"/>
      <c r="L56" s="11"/>
      <c r="M56" s="12" t="s">
        <v>1492</v>
      </c>
      <c r="N56" s="11"/>
      <c r="O56" s="11" t="s">
        <v>1493</v>
      </c>
      <c r="P56" s="11"/>
      <c r="Q56" s="11"/>
      <c r="R56" s="11"/>
      <c r="S56" s="11"/>
      <c r="T56" s="11" t="s">
        <v>55</v>
      </c>
      <c r="U56" s="11" t="n">
        <f aca="false">COUNTA(K56:P56)</f>
        <v>2</v>
      </c>
      <c r="V56" s="11" t="s">
        <v>1494</v>
      </c>
      <c r="W56" s="13" t="s">
        <v>1495</v>
      </c>
    </row>
    <row r="57" customFormat="false" ht="15" hidden="false" customHeight="false" outlineLevel="0" collapsed="false">
      <c r="A57" s="11" t="n">
        <v>56</v>
      </c>
      <c r="B57" s="11" t="s">
        <v>1496</v>
      </c>
      <c r="C57" s="11" t="s">
        <v>11</v>
      </c>
      <c r="D57" s="11" t="s">
        <v>1497</v>
      </c>
      <c r="E57" s="11"/>
      <c r="F57" s="11" t="s">
        <v>133</v>
      </c>
      <c r="G57" s="11" t="s">
        <v>1270</v>
      </c>
      <c r="H57" s="11" t="s">
        <v>1498</v>
      </c>
      <c r="I57" s="11" t="str">
        <f aca="false">IF(OR(G57="Gros",AND(H57&lt;&gt;"",S57="Oui")),"A",IF(OR(G57="Moyen",H57&lt;&gt;""),"B","C"))</f>
        <v>B</v>
      </c>
      <c r="J57" s="11" t="s">
        <v>1499</v>
      </c>
      <c r="K57" s="11"/>
      <c r="L57" s="11"/>
      <c r="M57" s="12" t="s">
        <v>1500</v>
      </c>
      <c r="N57" s="11"/>
      <c r="O57" s="11" t="s">
        <v>1501</v>
      </c>
      <c r="P57" s="11"/>
      <c r="Q57" s="11"/>
      <c r="R57" s="11"/>
      <c r="S57" s="11"/>
      <c r="T57" s="11" t="s">
        <v>55</v>
      </c>
      <c r="U57" s="11" t="n">
        <f aca="false">COUNTA(K57:P57)</f>
        <v>2</v>
      </c>
      <c r="V57" s="11"/>
      <c r="W57" s="13" t="s">
        <v>1502</v>
      </c>
    </row>
    <row r="58" customFormat="false" ht="15" hidden="false" customHeight="false" outlineLevel="0" collapsed="false">
      <c r="A58" s="11" t="n">
        <v>57</v>
      </c>
      <c r="B58" s="11" t="s">
        <v>1503</v>
      </c>
      <c r="C58" s="11" t="s">
        <v>11</v>
      </c>
      <c r="D58" s="11" t="s">
        <v>1497</v>
      </c>
      <c r="E58" s="11" t="s">
        <v>1504</v>
      </c>
      <c r="F58" s="11" t="s">
        <v>122</v>
      </c>
      <c r="G58" s="11" t="s">
        <v>1270</v>
      </c>
      <c r="H58" s="11"/>
      <c r="I58" s="11" t="str">
        <f aca="false">IF(OR(G58="Gros",AND(H58&lt;&gt;"",S58="Oui")),"A",IF(OR(G58="Moyen",H58&lt;&gt;""),"B","C"))</f>
        <v>C</v>
      </c>
      <c r="J58" s="11" t="s">
        <v>1505</v>
      </c>
      <c r="K58" s="12" t="s">
        <v>1506</v>
      </c>
      <c r="L58" s="11"/>
      <c r="M58" s="12" t="s">
        <v>1507</v>
      </c>
      <c r="N58" s="11"/>
      <c r="O58" s="11" t="s">
        <v>1508</v>
      </c>
      <c r="P58" s="11"/>
      <c r="Q58" s="11" t="s">
        <v>1509</v>
      </c>
      <c r="R58" s="12" t="s">
        <v>54</v>
      </c>
      <c r="S58" s="11"/>
      <c r="T58" s="11" t="s">
        <v>55</v>
      </c>
      <c r="U58" s="11" t="n">
        <f aca="false">COUNTA(K58:P58)</f>
        <v>3</v>
      </c>
      <c r="V58" s="11" t="s">
        <v>1510</v>
      </c>
      <c r="W58" s="13" t="s">
        <v>1511</v>
      </c>
    </row>
    <row r="59" customFormat="false" ht="15" hidden="false" customHeight="false" outlineLevel="0" collapsed="false">
      <c r="A59" s="11" t="n">
        <v>58</v>
      </c>
      <c r="B59" s="11" t="s">
        <v>1512</v>
      </c>
      <c r="C59" s="11" t="s">
        <v>11</v>
      </c>
      <c r="D59" s="11" t="s">
        <v>341</v>
      </c>
      <c r="E59" s="11" t="s">
        <v>1513</v>
      </c>
      <c r="F59" s="11" t="s">
        <v>122</v>
      </c>
      <c r="G59" s="11" t="s">
        <v>1270</v>
      </c>
      <c r="H59" s="11"/>
      <c r="I59" s="11" t="str">
        <f aca="false">IF(OR(G59="Gros",AND(H59&lt;&gt;"",S59="Oui")),"A",IF(OR(G59="Moyen",H59&lt;&gt;""),"B","C"))</f>
        <v>C</v>
      </c>
      <c r="J59" s="11" t="s">
        <v>1514</v>
      </c>
      <c r="K59" s="12" t="s">
        <v>1515</v>
      </c>
      <c r="L59" s="11"/>
      <c r="M59" s="12" t="s">
        <v>1516</v>
      </c>
      <c r="N59" s="11"/>
      <c r="O59" s="11"/>
      <c r="P59" s="11"/>
      <c r="Q59" s="11"/>
      <c r="R59" s="12" t="s">
        <v>54</v>
      </c>
      <c r="S59" s="11"/>
      <c r="T59" s="11" t="s">
        <v>55</v>
      </c>
      <c r="U59" s="11" t="n">
        <f aca="false">COUNTA(K59:P59)</f>
        <v>2</v>
      </c>
      <c r="V59" s="11" t="s">
        <v>1517</v>
      </c>
      <c r="W59" s="13" t="s">
        <v>1518</v>
      </c>
    </row>
    <row r="60" customFormat="false" ht="15" hidden="false" customHeight="false" outlineLevel="0" collapsed="false">
      <c r="A60" s="11" t="n">
        <v>59</v>
      </c>
      <c r="B60" s="11" t="s">
        <v>1519</v>
      </c>
      <c r="C60" s="11" t="s">
        <v>11</v>
      </c>
      <c r="D60" s="11"/>
      <c r="E60" s="11"/>
      <c r="F60" s="11" t="s">
        <v>133</v>
      </c>
      <c r="G60" s="11" t="s">
        <v>1402</v>
      </c>
      <c r="H60" s="11"/>
      <c r="I60" s="11" t="str">
        <f aca="false">IF(OR(G60="Gros",AND(H60&lt;&gt;"",S60="Oui")),"A",IF(OR(G60="Moyen",H60&lt;&gt;""),"B","C"))</f>
        <v>C</v>
      </c>
      <c r="J60" s="11" t="s">
        <v>1520</v>
      </c>
      <c r="K60" s="11"/>
      <c r="L60" s="11"/>
      <c r="M60" s="12" t="s">
        <v>1521</v>
      </c>
      <c r="N60" s="11"/>
      <c r="O60" s="11"/>
      <c r="P60" s="11"/>
      <c r="Q60" s="11"/>
      <c r="R60" s="11"/>
      <c r="S60" s="11"/>
      <c r="T60" s="11" t="s">
        <v>55</v>
      </c>
      <c r="U60" s="11" t="n">
        <f aca="false">COUNTA(K60:P60)</f>
        <v>1</v>
      </c>
      <c r="V60" s="11" t="s">
        <v>1522</v>
      </c>
      <c r="W60" s="13" t="s">
        <v>1523</v>
      </c>
    </row>
    <row r="61" customFormat="false" ht="15" hidden="false" customHeight="false" outlineLevel="0" collapsed="false">
      <c r="A61" s="11" t="n">
        <v>60</v>
      </c>
      <c r="B61" s="11" t="s">
        <v>1524</v>
      </c>
      <c r="C61" s="11" t="s">
        <v>11</v>
      </c>
      <c r="D61" s="11"/>
      <c r="E61" s="11"/>
      <c r="F61" s="11" t="s">
        <v>133</v>
      </c>
      <c r="G61" s="11" t="s">
        <v>1402</v>
      </c>
      <c r="H61" s="11"/>
      <c r="I61" s="11" t="str">
        <f aca="false">IF(OR(G61="Gros",AND(H61&lt;&gt;"",S61="Oui")),"A",IF(OR(G61="Moyen",H61&lt;&gt;""),"B","C"))</f>
        <v>C</v>
      </c>
      <c r="J61" s="11" t="s">
        <v>1525</v>
      </c>
      <c r="K61" s="11"/>
      <c r="L61" s="11"/>
      <c r="M61" s="11"/>
      <c r="N61" s="12" t="s">
        <v>1526</v>
      </c>
      <c r="O61" s="11"/>
      <c r="P61" s="11"/>
      <c r="Q61" s="11"/>
      <c r="R61" s="11"/>
      <c r="S61" s="11"/>
      <c r="T61" s="11" t="s">
        <v>55</v>
      </c>
      <c r="U61" s="11" t="n">
        <f aca="false">COUNTA(K61:P61)</f>
        <v>1</v>
      </c>
      <c r="V61" s="11" t="s">
        <v>1527</v>
      </c>
      <c r="W61" s="13" t="s">
        <v>1528</v>
      </c>
    </row>
    <row r="62" customFormat="false" ht="15" hidden="false" customHeight="false" outlineLevel="0" collapsed="false">
      <c r="A62" s="11" t="n">
        <v>61</v>
      </c>
      <c r="B62" s="11" t="s">
        <v>1529</v>
      </c>
      <c r="C62" s="11" t="s">
        <v>11</v>
      </c>
      <c r="D62" s="11"/>
      <c r="E62" s="11"/>
      <c r="F62" s="11" t="s">
        <v>133</v>
      </c>
      <c r="G62" s="11" t="s">
        <v>1402</v>
      </c>
      <c r="H62" s="11"/>
      <c r="I62" s="11" t="str">
        <f aca="false">IF(OR(G62="Gros",AND(H62&lt;&gt;"",S62="Oui")),"A",IF(OR(G62="Moyen",H62&lt;&gt;""),"B","C"))</f>
        <v>C</v>
      </c>
      <c r="J62" s="11" t="s">
        <v>1530</v>
      </c>
      <c r="K62" s="11"/>
      <c r="L62" s="11"/>
      <c r="M62" s="12" t="s">
        <v>1531</v>
      </c>
      <c r="N62" s="11"/>
      <c r="O62" s="11"/>
      <c r="P62" s="11"/>
      <c r="Q62" s="11"/>
      <c r="R62" s="11"/>
      <c r="S62" s="11"/>
      <c r="T62" s="11" t="s">
        <v>55</v>
      </c>
      <c r="U62" s="11" t="n">
        <f aca="false">COUNTA(K62:P62)</f>
        <v>1</v>
      </c>
      <c r="V62" s="11" t="s">
        <v>1532</v>
      </c>
      <c r="W62" s="13" t="s">
        <v>1533</v>
      </c>
    </row>
    <row r="63" customFormat="false" ht="15" hidden="false" customHeight="false" outlineLevel="0" collapsed="false">
      <c r="A63" s="11" t="n">
        <v>62</v>
      </c>
      <c r="B63" s="11" t="s">
        <v>1534</v>
      </c>
      <c r="C63" s="11" t="s">
        <v>11</v>
      </c>
      <c r="D63" s="11"/>
      <c r="E63" s="11"/>
      <c r="F63" s="11" t="s">
        <v>133</v>
      </c>
      <c r="G63" s="11" t="s">
        <v>1402</v>
      </c>
      <c r="H63" s="11" t="s">
        <v>1535</v>
      </c>
      <c r="I63" s="11" t="str">
        <f aca="false">IF(OR(G63="Gros",AND(H63&lt;&gt;"",S63="Oui")),"A",IF(OR(G63="Moyen",H63&lt;&gt;""),"B","C"))</f>
        <v>B</v>
      </c>
      <c r="J63" s="11" t="s">
        <v>1536</v>
      </c>
      <c r="K63" s="11"/>
      <c r="L63" s="11"/>
      <c r="M63" s="12" t="s">
        <v>1537</v>
      </c>
      <c r="N63" s="11"/>
      <c r="O63" s="11"/>
      <c r="P63" s="11"/>
      <c r="Q63" s="11"/>
      <c r="R63" s="11"/>
      <c r="S63" s="11"/>
      <c r="T63" s="11" t="s">
        <v>55</v>
      </c>
      <c r="U63" s="11" t="n">
        <f aca="false">COUNTA(K63:P63)</f>
        <v>1</v>
      </c>
      <c r="V63" s="11" t="s">
        <v>1538</v>
      </c>
      <c r="W63" s="13" t="s">
        <v>1539</v>
      </c>
    </row>
    <row r="64" customFormat="false" ht="15" hidden="false" customHeight="false" outlineLevel="0" collapsed="false">
      <c r="A64" s="11" t="n">
        <v>63</v>
      </c>
      <c r="B64" s="11" t="s">
        <v>1540</v>
      </c>
      <c r="C64" s="11" t="s">
        <v>11</v>
      </c>
      <c r="D64" s="11"/>
      <c r="E64" s="11" t="s">
        <v>1541</v>
      </c>
      <c r="F64" s="11" t="s">
        <v>290</v>
      </c>
      <c r="G64" s="11" t="s">
        <v>1402</v>
      </c>
      <c r="H64" s="11"/>
      <c r="I64" s="11" t="str">
        <f aca="false">IF(OR(G64="Gros",AND(H64&lt;&gt;"",S64="Oui")),"A",IF(OR(G64="Moyen",H64&lt;&gt;""),"B","C"))</f>
        <v>C</v>
      </c>
      <c r="J64" s="11" t="s">
        <v>1542</v>
      </c>
      <c r="K64" s="12" t="s">
        <v>1543</v>
      </c>
      <c r="L64" s="11"/>
      <c r="M64" s="12" t="s">
        <v>1544</v>
      </c>
      <c r="N64" s="11"/>
      <c r="O64" s="11"/>
      <c r="P64" s="11"/>
      <c r="Q64" s="11"/>
      <c r="R64" s="11"/>
      <c r="S64" s="11"/>
      <c r="T64" s="11" t="s">
        <v>55</v>
      </c>
      <c r="U64" s="11" t="n">
        <f aca="false">COUNTA(K64:P64)</f>
        <v>2</v>
      </c>
      <c r="V64" s="11" t="s">
        <v>1545</v>
      </c>
      <c r="W64" s="13" t="s">
        <v>1546</v>
      </c>
    </row>
    <row r="65" customFormat="false" ht="15" hidden="false" customHeight="false" outlineLevel="0" collapsed="false">
      <c r="A65" s="11" t="n">
        <v>64</v>
      </c>
      <c r="B65" s="11" t="s">
        <v>1547</v>
      </c>
      <c r="C65" s="11" t="s">
        <v>11</v>
      </c>
      <c r="D65" s="11" t="s">
        <v>1489</v>
      </c>
      <c r="E65" s="11"/>
      <c r="F65" s="11" t="s">
        <v>389</v>
      </c>
      <c r="G65" s="11" t="s">
        <v>1402</v>
      </c>
      <c r="H65" s="11"/>
      <c r="I65" s="11" t="str">
        <f aca="false">IF(OR(G65="Gros",AND(H65&lt;&gt;"",S65="Oui")),"A",IF(OR(G65="Moyen",H65&lt;&gt;""),"B","C"))</f>
        <v>C</v>
      </c>
      <c r="J65" s="11" t="s">
        <v>1548</v>
      </c>
      <c r="K65" s="12" t="s">
        <v>1549</v>
      </c>
      <c r="L65" s="11"/>
      <c r="M65" s="12" t="s">
        <v>1550</v>
      </c>
      <c r="N65" s="11"/>
      <c r="O65" s="11" t="s">
        <v>1551</v>
      </c>
      <c r="P65" s="11"/>
      <c r="Q65" s="11"/>
      <c r="R65" s="11"/>
      <c r="S65" s="11"/>
      <c r="T65" s="11" t="s">
        <v>55</v>
      </c>
      <c r="U65" s="11" t="n">
        <f aca="false">COUNTA(K65:P65)</f>
        <v>3</v>
      </c>
      <c r="V65" s="11" t="s">
        <v>1552</v>
      </c>
      <c r="W65" s="13" t="s">
        <v>1550</v>
      </c>
    </row>
    <row r="66" customFormat="false" ht="15" hidden="false" customHeight="false" outlineLevel="0" collapsed="false">
      <c r="A66" s="11" t="n">
        <v>65</v>
      </c>
      <c r="B66" s="11" t="s">
        <v>1553</v>
      </c>
      <c r="C66" s="11" t="s">
        <v>11</v>
      </c>
      <c r="D66" s="11" t="s">
        <v>259</v>
      </c>
      <c r="E66" s="11" t="s">
        <v>1554</v>
      </c>
      <c r="F66" s="11" t="s">
        <v>156</v>
      </c>
      <c r="G66" s="11" t="s">
        <v>1402</v>
      </c>
      <c r="H66" s="11"/>
      <c r="I66" s="11" t="str">
        <f aca="false">IF(OR(G66="Gros",AND(H66&lt;&gt;"",S66="Oui")),"A",IF(OR(G66="Moyen",H66&lt;&gt;""),"B","C"))</f>
        <v>C</v>
      </c>
      <c r="J66" s="11" t="s">
        <v>1555</v>
      </c>
      <c r="K66" s="11"/>
      <c r="L66" s="11"/>
      <c r="M66" s="11"/>
      <c r="N66" s="11"/>
      <c r="O66" s="11"/>
      <c r="P66" s="11"/>
      <c r="Q66" s="11"/>
      <c r="R66" s="12" t="s">
        <v>54</v>
      </c>
      <c r="S66" s="11"/>
      <c r="T66" s="11" t="s">
        <v>73</v>
      </c>
      <c r="U66" s="11" t="n">
        <f aca="false">COUNTA(K66:P66)</f>
        <v>0</v>
      </c>
      <c r="V66" s="11" t="s">
        <v>1556</v>
      </c>
      <c r="W66" s="13" t="s">
        <v>1557</v>
      </c>
    </row>
    <row r="67" customFormat="false" ht="15" hidden="false" customHeight="false" outlineLevel="0" collapsed="false">
      <c r="A67" s="11" t="n">
        <v>66</v>
      </c>
      <c r="B67" s="11" t="s">
        <v>1558</v>
      </c>
      <c r="C67" s="11" t="s">
        <v>11</v>
      </c>
      <c r="D67" s="11" t="s">
        <v>259</v>
      </c>
      <c r="E67" s="11" t="s">
        <v>1559</v>
      </c>
      <c r="F67" s="11" t="s">
        <v>51</v>
      </c>
      <c r="G67" s="11" t="s">
        <v>1402</v>
      </c>
      <c r="H67" s="11"/>
      <c r="I67" s="11" t="str">
        <f aca="false">IF(OR(G67="Gros",AND(H67&lt;&gt;"",S67="Oui")),"A",IF(OR(G67="Moyen",H67&lt;&gt;""),"B","C"))</f>
        <v>C</v>
      </c>
      <c r="J67" s="11" t="s">
        <v>1560</v>
      </c>
      <c r="K67" s="11"/>
      <c r="L67" s="11"/>
      <c r="M67" s="11"/>
      <c r="N67" s="11"/>
      <c r="O67" s="11" t="s">
        <v>1561</v>
      </c>
      <c r="P67" s="11"/>
      <c r="Q67" s="11"/>
      <c r="R67" s="12" t="s">
        <v>54</v>
      </c>
      <c r="S67" s="11"/>
      <c r="T67" s="11" t="s">
        <v>73</v>
      </c>
      <c r="U67" s="11" t="n">
        <f aca="false">COUNTA(K67:P67)</f>
        <v>1</v>
      </c>
      <c r="V67" s="11" t="s">
        <v>1562</v>
      </c>
      <c r="W67" s="13" t="s">
        <v>1557</v>
      </c>
    </row>
    <row r="68" customFormat="false" ht="15" hidden="false" customHeight="false" outlineLevel="0" collapsed="false">
      <c r="A68" s="11" t="n">
        <v>67</v>
      </c>
      <c r="B68" s="11" t="s">
        <v>1563</v>
      </c>
      <c r="C68" s="11" t="s">
        <v>11</v>
      </c>
      <c r="D68" s="11" t="s">
        <v>341</v>
      </c>
      <c r="E68" s="11" t="s">
        <v>1564</v>
      </c>
      <c r="F68" s="11" t="s">
        <v>51</v>
      </c>
      <c r="G68" s="11" t="s">
        <v>1402</v>
      </c>
      <c r="H68" s="11"/>
      <c r="I68" s="11" t="str">
        <f aca="false">IF(OR(G68="Gros",AND(H68&lt;&gt;"",S68="Oui")),"A",IF(OR(G68="Moyen",H68&lt;&gt;""),"B","C"))</f>
        <v>C</v>
      </c>
      <c r="J68" s="11" t="s">
        <v>1565</v>
      </c>
      <c r="K68" s="11"/>
      <c r="L68" s="11"/>
      <c r="M68" s="12" t="s">
        <v>1566</v>
      </c>
      <c r="N68" s="11"/>
      <c r="O68" s="11"/>
      <c r="P68" s="11"/>
      <c r="Q68" s="11"/>
      <c r="R68" s="12" t="s">
        <v>54</v>
      </c>
      <c r="S68" s="11"/>
      <c r="T68" s="11" t="s">
        <v>73</v>
      </c>
      <c r="U68" s="11" t="n">
        <f aca="false">COUNTA(K68:P68)</f>
        <v>1</v>
      </c>
      <c r="V68" s="11" t="s">
        <v>1567</v>
      </c>
      <c r="W68" s="13" t="s">
        <v>1568</v>
      </c>
    </row>
    <row r="69" customFormat="false" ht="15" hidden="false" customHeight="false" outlineLevel="0" collapsed="false">
      <c r="A69" s="11" t="n">
        <v>68</v>
      </c>
      <c r="B69" s="11" t="s">
        <v>1569</v>
      </c>
      <c r="C69" s="11" t="s">
        <v>11</v>
      </c>
      <c r="D69" s="11" t="s">
        <v>341</v>
      </c>
      <c r="E69" s="11" t="s">
        <v>1570</v>
      </c>
      <c r="F69" s="11" t="s">
        <v>51</v>
      </c>
      <c r="G69" s="11" t="s">
        <v>1402</v>
      </c>
      <c r="H69" s="11"/>
      <c r="I69" s="11" t="str">
        <f aca="false">IF(OR(G69="Gros",AND(H69&lt;&gt;"",S69="Oui")),"A",IF(OR(G69="Moyen",H69&lt;&gt;""),"B","C"))</f>
        <v>C</v>
      </c>
      <c r="J69" s="11" t="s">
        <v>1571</v>
      </c>
      <c r="K69" s="11"/>
      <c r="L69" s="11"/>
      <c r="M69" s="11"/>
      <c r="N69" s="11"/>
      <c r="O69" s="11"/>
      <c r="P69" s="11"/>
      <c r="Q69" s="11"/>
      <c r="R69" s="12" t="s">
        <v>54</v>
      </c>
      <c r="S69" s="11"/>
      <c r="T69" s="11" t="s">
        <v>55</v>
      </c>
      <c r="U69" s="11" t="n">
        <f aca="false">COUNTA(K69:P69)</f>
        <v>0</v>
      </c>
      <c r="V69" s="11" t="s">
        <v>1572</v>
      </c>
      <c r="W69" s="13" t="s">
        <v>1573</v>
      </c>
    </row>
    <row r="70" customFormat="false" ht="15" hidden="false" customHeight="false" outlineLevel="0" collapsed="false">
      <c r="A70" s="11" t="n">
        <v>69</v>
      </c>
      <c r="B70" s="11" t="s">
        <v>1574</v>
      </c>
      <c r="C70" s="11" t="s">
        <v>11</v>
      </c>
      <c r="D70" s="11" t="s">
        <v>341</v>
      </c>
      <c r="E70" s="11" t="s">
        <v>1575</v>
      </c>
      <c r="F70" s="11" t="s">
        <v>51</v>
      </c>
      <c r="G70" s="11" t="s">
        <v>1402</v>
      </c>
      <c r="H70" s="11"/>
      <c r="I70" s="11" t="str">
        <f aca="false">IF(OR(G70="Gros",AND(H70&lt;&gt;"",S70="Oui")),"A",IF(OR(G70="Moyen",H70&lt;&gt;""),"B","C"))</f>
        <v>C</v>
      </c>
      <c r="J70" s="11" t="s">
        <v>1576</v>
      </c>
      <c r="K70" s="11"/>
      <c r="L70" s="11"/>
      <c r="M70" s="11"/>
      <c r="N70" s="11"/>
      <c r="O70" s="11"/>
      <c r="P70" s="11"/>
      <c r="Q70" s="11"/>
      <c r="R70" s="12" t="s">
        <v>54</v>
      </c>
      <c r="S70" s="11"/>
      <c r="T70" s="11" t="s">
        <v>73</v>
      </c>
      <c r="U70" s="11" t="n">
        <f aca="false">COUNTA(K70:P70)</f>
        <v>0</v>
      </c>
      <c r="V70" s="11" t="s">
        <v>1577</v>
      </c>
      <c r="W70" s="13" t="s">
        <v>1557</v>
      </c>
    </row>
    <row r="71" customFormat="false" ht="15" hidden="false" customHeight="false" outlineLevel="0" collapsed="false">
      <c r="A71" s="11" t="n">
        <v>70</v>
      </c>
      <c r="B71" s="11" t="s">
        <v>1578</v>
      </c>
      <c r="C71" s="11" t="s">
        <v>11</v>
      </c>
      <c r="D71" s="11" t="s">
        <v>341</v>
      </c>
      <c r="E71" s="11" t="s">
        <v>1579</v>
      </c>
      <c r="F71" s="11" t="s">
        <v>51</v>
      </c>
      <c r="G71" s="11" t="s">
        <v>1402</v>
      </c>
      <c r="H71" s="11"/>
      <c r="I71" s="11" t="str">
        <f aca="false">IF(OR(G71="Gros",AND(H71&lt;&gt;"",S71="Oui")),"A",IF(OR(G71="Moyen",H71&lt;&gt;""),"B","C"))</f>
        <v>C</v>
      </c>
      <c r="J71" s="11" t="s">
        <v>1560</v>
      </c>
      <c r="K71" s="11"/>
      <c r="L71" s="11"/>
      <c r="M71" s="11"/>
      <c r="N71" s="11"/>
      <c r="O71" s="11"/>
      <c r="P71" s="11"/>
      <c r="Q71" s="11"/>
      <c r="R71" s="12" t="s">
        <v>54</v>
      </c>
      <c r="S71" s="11"/>
      <c r="T71" s="11" t="s">
        <v>73</v>
      </c>
      <c r="U71" s="11" t="n">
        <f aca="false">COUNTA(K71:P71)</f>
        <v>0</v>
      </c>
      <c r="V71" s="11" t="s">
        <v>1580</v>
      </c>
      <c r="W71" s="13" t="s">
        <v>1557</v>
      </c>
    </row>
    <row r="72" customFormat="false" ht="15" hidden="false" customHeight="false" outlineLevel="0" collapsed="false">
      <c r="A72" s="11" t="n">
        <v>71</v>
      </c>
      <c r="B72" s="11" t="s">
        <v>1581</v>
      </c>
      <c r="C72" s="11" t="s">
        <v>11</v>
      </c>
      <c r="D72" s="11" t="s">
        <v>341</v>
      </c>
      <c r="E72" s="11" t="s">
        <v>1582</v>
      </c>
      <c r="F72" s="11" t="s">
        <v>51</v>
      </c>
      <c r="G72" s="11" t="s">
        <v>1402</v>
      </c>
      <c r="H72" s="11"/>
      <c r="I72" s="11" t="str">
        <f aca="false">IF(OR(G72="Gros",AND(H72&lt;&gt;"",S72="Oui")),"A",IF(OR(G72="Moyen",H72&lt;&gt;""),"B","C"))</f>
        <v>C</v>
      </c>
      <c r="J72" s="11" t="s">
        <v>1583</v>
      </c>
      <c r="K72" s="11"/>
      <c r="L72" s="11"/>
      <c r="M72" s="11"/>
      <c r="N72" s="11"/>
      <c r="O72" s="11"/>
      <c r="P72" s="11"/>
      <c r="Q72" s="11"/>
      <c r="R72" s="12" t="s">
        <v>54</v>
      </c>
      <c r="S72" s="11"/>
      <c r="T72" s="11" t="s">
        <v>73</v>
      </c>
      <c r="U72" s="11" t="n">
        <f aca="false">COUNTA(K72:P72)</f>
        <v>0</v>
      </c>
      <c r="V72" s="11" t="s">
        <v>1584</v>
      </c>
      <c r="W72" s="13" t="s">
        <v>1557</v>
      </c>
    </row>
    <row r="73" customFormat="false" ht="15" hidden="false" customHeight="false" outlineLevel="0" collapsed="false">
      <c r="A73" s="11" t="n">
        <v>72</v>
      </c>
      <c r="B73" s="11" t="s">
        <v>1585</v>
      </c>
      <c r="C73" s="11" t="s">
        <v>11</v>
      </c>
      <c r="D73" s="11" t="s">
        <v>341</v>
      </c>
      <c r="E73" s="11"/>
      <c r="F73" s="11" t="s">
        <v>122</v>
      </c>
      <c r="G73" s="11" t="s">
        <v>1402</v>
      </c>
      <c r="H73" s="11"/>
      <c r="I73" s="11" t="str">
        <f aca="false">IF(OR(G73="Gros",AND(H73&lt;&gt;"",S73="Oui")),"A",IF(OR(G73="Moyen",H73&lt;&gt;""),"B","C"))</f>
        <v>C</v>
      </c>
      <c r="J73" s="11" t="s">
        <v>1586</v>
      </c>
      <c r="K73" s="12" t="s">
        <v>1587</v>
      </c>
      <c r="L73" s="11"/>
      <c r="M73" s="12" t="s">
        <v>1588</v>
      </c>
      <c r="N73" s="11"/>
      <c r="O73" s="11"/>
      <c r="P73" s="11"/>
      <c r="Q73" s="11"/>
      <c r="R73" s="12" t="s">
        <v>54</v>
      </c>
      <c r="S73" s="11"/>
      <c r="T73" s="11" t="s">
        <v>55</v>
      </c>
      <c r="U73" s="11" t="n">
        <f aca="false">COUNTA(K73:P73)</f>
        <v>2</v>
      </c>
      <c r="V73" s="11" t="s">
        <v>1589</v>
      </c>
      <c r="W73" s="13" t="s">
        <v>1590</v>
      </c>
    </row>
    <row r="74" customFormat="false" ht="15" hidden="false" customHeight="false" outlineLevel="0" collapsed="false">
      <c r="A74" s="11" t="n">
        <v>73</v>
      </c>
      <c r="B74" s="11" t="s">
        <v>1591</v>
      </c>
      <c r="C74" s="11" t="s">
        <v>11</v>
      </c>
      <c r="D74" s="11" t="s">
        <v>341</v>
      </c>
      <c r="E74" s="11" t="s">
        <v>1592</v>
      </c>
      <c r="F74" s="11" t="s">
        <v>51</v>
      </c>
      <c r="G74" s="11" t="s">
        <v>1402</v>
      </c>
      <c r="H74" s="11"/>
      <c r="I74" s="11" t="str">
        <f aca="false">IF(OR(G74="Gros",AND(H74&lt;&gt;"",S74="Oui")),"A",IF(OR(G74="Moyen",H74&lt;&gt;""),"B","C"))</f>
        <v>C</v>
      </c>
      <c r="J74" s="11" t="s">
        <v>1593</v>
      </c>
      <c r="K74" s="11"/>
      <c r="L74" s="11"/>
      <c r="M74" s="12" t="s">
        <v>1594</v>
      </c>
      <c r="N74" s="11"/>
      <c r="O74" s="11"/>
      <c r="P74" s="11"/>
      <c r="Q74" s="11"/>
      <c r="R74" s="12" t="s">
        <v>54</v>
      </c>
      <c r="S74" s="11"/>
      <c r="T74" s="11" t="s">
        <v>73</v>
      </c>
      <c r="U74" s="11" t="n">
        <f aca="false">COUNTA(K74:P74)</f>
        <v>1</v>
      </c>
      <c r="V74" s="11" t="s">
        <v>1595</v>
      </c>
      <c r="W74" s="13" t="s">
        <v>1596</v>
      </c>
    </row>
    <row r="75" customFormat="false" ht="15" hidden="false" customHeight="false" outlineLevel="0" collapsed="false">
      <c r="A75" s="11" t="n">
        <v>74</v>
      </c>
      <c r="B75" s="11" t="s">
        <v>1597</v>
      </c>
      <c r="C75" s="11" t="s">
        <v>11</v>
      </c>
      <c r="D75" s="11" t="s">
        <v>341</v>
      </c>
      <c r="E75" s="11"/>
      <c r="F75" s="11" t="s">
        <v>51</v>
      </c>
      <c r="G75" s="11" t="s">
        <v>1402</v>
      </c>
      <c r="H75" s="11"/>
      <c r="I75" s="11" t="str">
        <f aca="false">IF(OR(G75="Gros",AND(H75&lt;&gt;"",S75="Oui")),"A",IF(OR(G75="Moyen",H75&lt;&gt;""),"B","C"))</f>
        <v>C</v>
      </c>
      <c r="J75" s="11" t="s">
        <v>1598</v>
      </c>
      <c r="K75" s="11"/>
      <c r="L75" s="11"/>
      <c r="M75" s="11"/>
      <c r="N75" s="11"/>
      <c r="O75" s="11"/>
      <c r="P75" s="11"/>
      <c r="Q75" s="11"/>
      <c r="R75" s="12" t="s">
        <v>54</v>
      </c>
      <c r="S75" s="11"/>
      <c r="T75" s="11" t="s">
        <v>73</v>
      </c>
      <c r="U75" s="11" t="n">
        <f aca="false">COUNTA(K75:P75)</f>
        <v>0</v>
      </c>
      <c r="V75" s="11" t="s">
        <v>1599</v>
      </c>
      <c r="W75" s="13" t="s">
        <v>1600</v>
      </c>
    </row>
    <row r="76" customFormat="false" ht="15" hidden="false" customHeight="false" outlineLevel="0" collapsed="false">
      <c r="A76" s="11" t="n">
        <v>75</v>
      </c>
      <c r="B76" s="11" t="s">
        <v>1601</v>
      </c>
      <c r="C76" s="11" t="s">
        <v>11</v>
      </c>
      <c r="D76" s="11" t="s">
        <v>341</v>
      </c>
      <c r="E76" s="11"/>
      <c r="F76" s="11" t="s">
        <v>51</v>
      </c>
      <c r="G76" s="11" t="s">
        <v>1402</v>
      </c>
      <c r="H76" s="11"/>
      <c r="I76" s="11" t="str">
        <f aca="false">IF(OR(G76="Gros",AND(H76&lt;&gt;"",S76="Oui")),"A",IF(OR(G76="Moyen",H76&lt;&gt;""),"B","C"))</f>
        <v>C</v>
      </c>
      <c r="J76" s="11" t="s">
        <v>1602</v>
      </c>
      <c r="K76" s="11"/>
      <c r="L76" s="11"/>
      <c r="M76" s="11"/>
      <c r="N76" s="11"/>
      <c r="O76" s="11"/>
      <c r="P76" s="11"/>
      <c r="Q76" s="11"/>
      <c r="R76" s="12" t="s">
        <v>54</v>
      </c>
      <c r="S76" s="11"/>
      <c r="T76" s="11" t="s">
        <v>73</v>
      </c>
      <c r="U76" s="11" t="n">
        <f aca="false">COUNTA(K76:P76)</f>
        <v>0</v>
      </c>
      <c r="V76" s="11" t="s">
        <v>1603</v>
      </c>
      <c r="W76" s="13" t="s">
        <v>1604</v>
      </c>
    </row>
    <row r="77" customFormat="false" ht="15" hidden="false" customHeight="false" outlineLevel="0" collapsed="false">
      <c r="A77" s="11" t="n">
        <v>76</v>
      </c>
      <c r="B77" s="11" t="s">
        <v>1605</v>
      </c>
      <c r="C77" s="11" t="s">
        <v>11</v>
      </c>
      <c r="D77" s="11" t="s">
        <v>341</v>
      </c>
      <c r="E77" s="11"/>
      <c r="F77" s="11" t="s">
        <v>51</v>
      </c>
      <c r="G77" s="11" t="s">
        <v>1402</v>
      </c>
      <c r="H77" s="11"/>
      <c r="I77" s="11" t="str">
        <f aca="false">IF(OR(G77="Gros",AND(H77&lt;&gt;"",S77="Oui")),"A",IF(OR(G77="Moyen",H77&lt;&gt;""),"B","C"))</f>
        <v>C</v>
      </c>
      <c r="J77" s="11" t="s">
        <v>1606</v>
      </c>
      <c r="K77" s="11"/>
      <c r="L77" s="11"/>
      <c r="M77" s="11"/>
      <c r="N77" s="11"/>
      <c r="O77" s="11"/>
      <c r="P77" s="11"/>
      <c r="Q77" s="11"/>
      <c r="R77" s="12" t="s">
        <v>54</v>
      </c>
      <c r="S77" s="11"/>
      <c r="T77" s="11" t="s">
        <v>73</v>
      </c>
      <c r="U77" s="11" t="n">
        <f aca="false">COUNTA(K77:P77)</f>
        <v>0</v>
      </c>
      <c r="V77" s="11" t="s">
        <v>1607</v>
      </c>
      <c r="W77" s="13" t="s">
        <v>1604</v>
      </c>
    </row>
    <row r="78" customFormat="false" ht="15" hidden="false" customHeight="false" outlineLevel="0" collapsed="false">
      <c r="A78" s="11" t="n">
        <v>77</v>
      </c>
      <c r="B78" s="11" t="s">
        <v>1608</v>
      </c>
      <c r="C78" s="11" t="s">
        <v>11</v>
      </c>
      <c r="D78" s="11" t="s">
        <v>341</v>
      </c>
      <c r="E78" s="11" t="s">
        <v>1609</v>
      </c>
      <c r="F78" s="11" t="s">
        <v>51</v>
      </c>
      <c r="G78" s="11" t="s">
        <v>1402</v>
      </c>
      <c r="H78" s="11"/>
      <c r="I78" s="11" t="str">
        <f aca="false">IF(OR(G78="Gros",AND(H78&lt;&gt;"",S78="Oui")),"A",IF(OR(G78="Moyen",H78&lt;&gt;""),"B","C"))</f>
        <v>C</v>
      </c>
      <c r="J78" s="11" t="s">
        <v>1610</v>
      </c>
      <c r="K78" s="11"/>
      <c r="L78" s="11"/>
      <c r="M78" s="11"/>
      <c r="N78" s="11"/>
      <c r="O78" s="11"/>
      <c r="P78" s="11"/>
      <c r="Q78" s="11"/>
      <c r="R78" s="12" t="s">
        <v>54</v>
      </c>
      <c r="S78" s="11"/>
      <c r="T78" s="11" t="s">
        <v>73</v>
      </c>
      <c r="U78" s="11" t="n">
        <f aca="false">COUNTA(K78:P78)</f>
        <v>0</v>
      </c>
      <c r="V78" s="11" t="s">
        <v>1611</v>
      </c>
      <c r="W78" s="13" t="s">
        <v>1557</v>
      </c>
    </row>
    <row r="79" customFormat="false" ht="15" hidden="false" customHeight="false" outlineLevel="0" collapsed="false">
      <c r="A79" s="11" t="n">
        <v>78</v>
      </c>
      <c r="B79" s="11" t="s">
        <v>1612</v>
      </c>
      <c r="C79" s="11" t="s">
        <v>11</v>
      </c>
      <c r="D79" s="11" t="s">
        <v>1613</v>
      </c>
      <c r="E79" s="11"/>
      <c r="F79" s="11" t="s">
        <v>133</v>
      </c>
      <c r="G79" s="11" t="s">
        <v>1402</v>
      </c>
      <c r="H79" s="11"/>
      <c r="I79" s="11" t="str">
        <f aca="false">IF(OR(G79="Gros",AND(H79&lt;&gt;"",S79="Oui")),"A",IF(OR(G79="Moyen",H79&lt;&gt;""),"B","C"))</f>
        <v>C</v>
      </c>
      <c r="J79" s="11" t="s">
        <v>1614</v>
      </c>
      <c r="K79" s="11"/>
      <c r="L79" s="11"/>
      <c r="M79" s="12" t="s">
        <v>1615</v>
      </c>
      <c r="N79" s="11"/>
      <c r="O79" s="11"/>
      <c r="P79" s="11"/>
      <c r="Q79" s="11"/>
      <c r="R79" s="11"/>
      <c r="S79" s="11"/>
      <c r="T79" s="11" t="s">
        <v>55</v>
      </c>
      <c r="U79" s="11" t="n">
        <f aca="false">COUNTA(K79:P79)</f>
        <v>1</v>
      </c>
      <c r="V79" s="11" t="s">
        <v>1616</v>
      </c>
      <c r="W79" s="13" t="s">
        <v>1617</v>
      </c>
    </row>
    <row r="80" customFormat="false" ht="15" hidden="false" customHeight="false" outlineLevel="0" collapsed="false">
      <c r="A80" s="11" t="n">
        <v>79</v>
      </c>
      <c r="B80" s="11" t="s">
        <v>1618</v>
      </c>
      <c r="C80" s="11" t="s">
        <v>12</v>
      </c>
      <c r="D80" s="11"/>
      <c r="E80" s="11"/>
      <c r="F80" s="11" t="s">
        <v>290</v>
      </c>
      <c r="G80" s="11" t="s">
        <v>1179</v>
      </c>
      <c r="H80" s="11" t="s">
        <v>1619</v>
      </c>
      <c r="I80" s="11" t="str">
        <f aca="false">IF(OR(G80="Gros",AND(H80&lt;&gt;"",S80="Oui")),"A",IF(OR(G80="Moyen",H80&lt;&gt;""),"B","C"))</f>
        <v>A</v>
      </c>
      <c r="J80" s="11" t="s">
        <v>1620</v>
      </c>
      <c r="K80" s="11"/>
      <c r="L80" s="11"/>
      <c r="M80" s="11"/>
      <c r="N80" s="11"/>
      <c r="O80" s="11"/>
      <c r="P80" s="11"/>
      <c r="Q80" s="11" t="s">
        <v>1621</v>
      </c>
      <c r="R80" s="11"/>
      <c r="S80" s="11"/>
      <c r="T80" s="11" t="s">
        <v>73</v>
      </c>
      <c r="U80" s="11" t="n">
        <f aca="false">COUNTA(K80:P80)</f>
        <v>0</v>
      </c>
      <c r="V80" s="11" t="s">
        <v>1622</v>
      </c>
      <c r="W80" s="13" t="s">
        <v>1623</v>
      </c>
    </row>
    <row r="81" customFormat="false" ht="15" hidden="false" customHeight="false" outlineLevel="0" collapsed="false">
      <c r="A81" s="11" t="n">
        <v>80</v>
      </c>
      <c r="B81" s="11" t="s">
        <v>1624</v>
      </c>
      <c r="C81" s="11" t="s">
        <v>12</v>
      </c>
      <c r="D81" s="11" t="s">
        <v>1625</v>
      </c>
      <c r="E81" s="11" t="s">
        <v>1626</v>
      </c>
      <c r="F81" s="11" t="s">
        <v>321</v>
      </c>
      <c r="G81" s="11" t="s">
        <v>1179</v>
      </c>
      <c r="H81" s="11" t="s">
        <v>1627</v>
      </c>
      <c r="I81" s="11" t="str">
        <f aca="false">IF(OR(G81="Gros",AND(H81&lt;&gt;"",S81="Oui")),"A",IF(OR(G81="Moyen",H81&lt;&gt;""),"B","C"))</f>
        <v>A</v>
      </c>
      <c r="J81" s="11" t="s">
        <v>1628</v>
      </c>
      <c r="K81" s="11"/>
      <c r="L81" s="11"/>
      <c r="M81" s="11"/>
      <c r="N81" s="11"/>
      <c r="O81" s="11"/>
      <c r="P81" s="11"/>
      <c r="Q81" s="11"/>
      <c r="R81" s="12" t="s">
        <v>54</v>
      </c>
      <c r="S81" s="11"/>
      <c r="T81" s="11" t="s">
        <v>73</v>
      </c>
      <c r="U81" s="11" t="n">
        <f aca="false">COUNTA(K81:P81)</f>
        <v>0</v>
      </c>
      <c r="V81" s="11" t="s">
        <v>1629</v>
      </c>
      <c r="W81" s="13" t="s">
        <v>1630</v>
      </c>
    </row>
    <row r="82" customFormat="false" ht="15" hidden="false" customHeight="false" outlineLevel="0" collapsed="false">
      <c r="A82" s="11" t="n">
        <v>81</v>
      </c>
      <c r="B82" s="11" t="s">
        <v>1631</v>
      </c>
      <c r="C82" s="11" t="s">
        <v>12</v>
      </c>
      <c r="D82" s="11" t="s">
        <v>1625</v>
      </c>
      <c r="E82" s="11"/>
      <c r="F82" s="11" t="s">
        <v>321</v>
      </c>
      <c r="G82" s="11" t="s">
        <v>1179</v>
      </c>
      <c r="H82" s="11" t="s">
        <v>1632</v>
      </c>
      <c r="I82" s="11" t="str">
        <f aca="false">IF(OR(G82="Gros",AND(H82&lt;&gt;"",S82="Oui")),"A",IF(OR(G82="Moyen",H82&lt;&gt;""),"B","C"))</f>
        <v>A</v>
      </c>
      <c r="J82" s="11" t="s">
        <v>1633</v>
      </c>
      <c r="K82" s="11"/>
      <c r="L82" s="11"/>
      <c r="M82" s="11"/>
      <c r="N82" s="11"/>
      <c r="O82" s="11"/>
      <c r="P82" s="11"/>
      <c r="Q82" s="11"/>
      <c r="R82" s="12" t="s">
        <v>54</v>
      </c>
      <c r="S82" s="11"/>
      <c r="T82" s="11" t="s">
        <v>73</v>
      </c>
      <c r="U82" s="11" t="n">
        <f aca="false">COUNTA(K82:P82)</f>
        <v>0</v>
      </c>
      <c r="V82" s="11" t="s">
        <v>1634</v>
      </c>
      <c r="W82" s="13" t="s">
        <v>1630</v>
      </c>
    </row>
    <row r="83" customFormat="false" ht="15" hidden="false" customHeight="false" outlineLevel="0" collapsed="false">
      <c r="A83" s="11" t="n">
        <v>82</v>
      </c>
      <c r="B83" s="11" t="s">
        <v>1635</v>
      </c>
      <c r="C83" s="11" t="s">
        <v>12</v>
      </c>
      <c r="D83" s="11" t="s">
        <v>1636</v>
      </c>
      <c r="E83" s="11" t="s">
        <v>1637</v>
      </c>
      <c r="F83" s="11" t="s">
        <v>321</v>
      </c>
      <c r="G83" s="11" t="s">
        <v>1179</v>
      </c>
      <c r="H83" s="11" t="s">
        <v>1638</v>
      </c>
      <c r="I83" s="11" t="str">
        <f aca="false">IF(OR(G83="Gros",AND(H83&lt;&gt;"",S83="Oui")),"A",IF(OR(G83="Moyen",H83&lt;&gt;""),"B","C"))</f>
        <v>A</v>
      </c>
      <c r="J83" s="11" t="s">
        <v>1639</v>
      </c>
      <c r="K83" s="12" t="s">
        <v>1640</v>
      </c>
      <c r="L83" s="11"/>
      <c r="M83" s="11"/>
      <c r="N83" s="11"/>
      <c r="O83" s="11"/>
      <c r="P83" s="11"/>
      <c r="Q83" s="11"/>
      <c r="R83" s="12" t="s">
        <v>54</v>
      </c>
      <c r="S83" s="11"/>
      <c r="T83" s="11" t="s">
        <v>73</v>
      </c>
      <c r="U83" s="11" t="n">
        <f aca="false">COUNTA(K83:P83)</f>
        <v>1</v>
      </c>
      <c r="V83" s="11" t="s">
        <v>1641</v>
      </c>
      <c r="W83" s="13" t="s">
        <v>1642</v>
      </c>
    </row>
    <row r="84" customFormat="false" ht="15" hidden="false" customHeight="false" outlineLevel="0" collapsed="false">
      <c r="A84" s="11" t="n">
        <v>83</v>
      </c>
      <c r="B84" s="11" t="s">
        <v>1643</v>
      </c>
      <c r="C84" s="11" t="s">
        <v>12</v>
      </c>
      <c r="D84" s="11" t="s">
        <v>1644</v>
      </c>
      <c r="E84" s="11" t="s">
        <v>1645</v>
      </c>
      <c r="F84" s="11" t="s">
        <v>321</v>
      </c>
      <c r="G84" s="11" t="s">
        <v>1179</v>
      </c>
      <c r="H84" s="11" t="s">
        <v>1646</v>
      </c>
      <c r="I84" s="11" t="str">
        <f aca="false">IF(OR(G84="Gros",AND(H84&lt;&gt;"",S84="Oui")),"A",IF(OR(G84="Moyen",H84&lt;&gt;""),"B","C"))</f>
        <v>A</v>
      </c>
      <c r="J84" s="11" t="s">
        <v>1647</v>
      </c>
      <c r="K84" s="12" t="s">
        <v>1648</v>
      </c>
      <c r="L84" s="11"/>
      <c r="M84" s="11"/>
      <c r="N84" s="11"/>
      <c r="O84" s="11"/>
      <c r="P84" s="11"/>
      <c r="Q84" s="11"/>
      <c r="R84" s="12" t="s">
        <v>54</v>
      </c>
      <c r="S84" s="11"/>
      <c r="T84" s="11" t="s">
        <v>73</v>
      </c>
      <c r="U84" s="11" t="n">
        <f aca="false">COUNTA(K84:P84)</f>
        <v>1</v>
      </c>
      <c r="V84" s="11" t="s">
        <v>1649</v>
      </c>
      <c r="W84" s="13" t="s">
        <v>1650</v>
      </c>
    </row>
    <row r="85" customFormat="false" ht="15" hidden="false" customHeight="false" outlineLevel="0" collapsed="false">
      <c r="A85" s="11" t="n">
        <v>84</v>
      </c>
      <c r="B85" s="11" t="s">
        <v>1651</v>
      </c>
      <c r="C85" s="11" t="s">
        <v>12</v>
      </c>
      <c r="D85" s="11" t="s">
        <v>657</v>
      </c>
      <c r="E85" s="11" t="s">
        <v>1652</v>
      </c>
      <c r="F85" s="11" t="s">
        <v>122</v>
      </c>
      <c r="G85" s="11" t="s">
        <v>1179</v>
      </c>
      <c r="H85" s="11" t="s">
        <v>1653</v>
      </c>
      <c r="I85" s="11" t="str">
        <f aca="false">IF(OR(G85="Gros",AND(H85&lt;&gt;"",S85="Oui")),"A",IF(OR(G85="Moyen",H85&lt;&gt;""),"B","C"))</f>
        <v>A</v>
      </c>
      <c r="J85" s="11" t="s">
        <v>1654</v>
      </c>
      <c r="K85" s="12" t="s">
        <v>1655</v>
      </c>
      <c r="L85" s="11"/>
      <c r="M85" s="11"/>
      <c r="N85" s="11"/>
      <c r="O85" s="11" t="s">
        <v>1656</v>
      </c>
      <c r="P85" s="11"/>
      <c r="Q85" s="11"/>
      <c r="R85" s="12" t="s">
        <v>54</v>
      </c>
      <c r="S85" s="11" t="s">
        <v>1195</v>
      </c>
      <c r="T85" s="11" t="s">
        <v>73</v>
      </c>
      <c r="U85" s="11" t="n">
        <f aca="false">COUNTA(K85:P85)</f>
        <v>2</v>
      </c>
      <c r="V85" s="11" t="s">
        <v>1657</v>
      </c>
      <c r="W85" s="13" t="s">
        <v>1658</v>
      </c>
    </row>
    <row r="86" customFormat="false" ht="15" hidden="false" customHeight="false" outlineLevel="0" collapsed="false">
      <c r="A86" s="11" t="n">
        <v>85</v>
      </c>
      <c r="B86" s="11" t="s">
        <v>1659</v>
      </c>
      <c r="C86" s="11" t="s">
        <v>12</v>
      </c>
      <c r="D86" s="11" t="s">
        <v>1660</v>
      </c>
      <c r="E86" s="11" t="s">
        <v>1661</v>
      </c>
      <c r="F86" s="11" t="s">
        <v>321</v>
      </c>
      <c r="G86" s="11" t="s">
        <v>1179</v>
      </c>
      <c r="H86" s="11" t="s">
        <v>1662</v>
      </c>
      <c r="I86" s="11" t="str">
        <f aca="false">IF(OR(G86="Gros",AND(H86&lt;&gt;"",S86="Oui")),"A",IF(OR(G86="Moyen",H86&lt;&gt;""),"B","C"))</f>
        <v>A</v>
      </c>
      <c r="J86" s="11" t="s">
        <v>1663</v>
      </c>
      <c r="K86" s="11"/>
      <c r="L86" s="11"/>
      <c r="M86" s="11"/>
      <c r="N86" s="11"/>
      <c r="O86" s="11"/>
      <c r="P86" s="11"/>
      <c r="Q86" s="11"/>
      <c r="R86" s="12" t="s">
        <v>54</v>
      </c>
      <c r="S86" s="11"/>
      <c r="T86" s="11" t="s">
        <v>73</v>
      </c>
      <c r="U86" s="11" t="n">
        <f aca="false">COUNTA(K86:P86)</f>
        <v>0</v>
      </c>
      <c r="V86" s="11" t="s">
        <v>1664</v>
      </c>
      <c r="W86" s="13" t="s">
        <v>1665</v>
      </c>
    </row>
    <row r="87" customFormat="false" ht="15" hidden="false" customHeight="false" outlineLevel="0" collapsed="false">
      <c r="A87" s="11" t="n">
        <v>86</v>
      </c>
      <c r="B87" s="11" t="s">
        <v>1666</v>
      </c>
      <c r="C87" s="11" t="s">
        <v>12</v>
      </c>
      <c r="D87" s="11" t="s">
        <v>717</v>
      </c>
      <c r="E87" s="11" t="s">
        <v>1667</v>
      </c>
      <c r="F87" s="11" t="s">
        <v>51</v>
      </c>
      <c r="G87" s="11" t="s">
        <v>1179</v>
      </c>
      <c r="H87" s="11"/>
      <c r="I87" s="11" t="str">
        <f aca="false">IF(OR(G87="Gros",AND(H87&lt;&gt;"",S87="Oui")),"A",IF(OR(G87="Moyen",H87&lt;&gt;""),"B","C"))</f>
        <v>A</v>
      </c>
      <c r="J87" s="11" t="s">
        <v>1668</v>
      </c>
      <c r="K87" s="11"/>
      <c r="L87" s="11"/>
      <c r="M87" s="11"/>
      <c r="N87" s="11"/>
      <c r="O87" s="11"/>
      <c r="P87" s="11"/>
      <c r="Q87" s="11"/>
      <c r="R87" s="12" t="s">
        <v>54</v>
      </c>
      <c r="S87" s="11"/>
      <c r="T87" s="11" t="s">
        <v>73</v>
      </c>
      <c r="U87" s="11" t="n">
        <f aca="false">COUNTA(K87:P87)</f>
        <v>0</v>
      </c>
      <c r="V87" s="11" t="s">
        <v>1669</v>
      </c>
      <c r="W87" s="13" t="s">
        <v>1670</v>
      </c>
    </row>
    <row r="88" customFormat="false" ht="15" hidden="false" customHeight="false" outlineLevel="0" collapsed="false">
      <c r="A88" s="11" t="n">
        <v>87</v>
      </c>
      <c r="B88" s="11" t="s">
        <v>1671</v>
      </c>
      <c r="C88" s="11" t="s">
        <v>12</v>
      </c>
      <c r="D88" s="11" t="s">
        <v>523</v>
      </c>
      <c r="E88" s="11" t="s">
        <v>1672</v>
      </c>
      <c r="F88" s="11" t="s">
        <v>51</v>
      </c>
      <c r="G88" s="11" t="s">
        <v>1228</v>
      </c>
      <c r="H88" s="11"/>
      <c r="I88" s="11" t="str">
        <f aca="false">IF(OR(G88="Gros",AND(H88&lt;&gt;"",S88="Oui")),"A",IF(OR(G88="Moyen",H88&lt;&gt;""),"B","C"))</f>
        <v>B</v>
      </c>
      <c r="J88" s="11" t="s">
        <v>1673</v>
      </c>
      <c r="K88" s="11"/>
      <c r="L88" s="11"/>
      <c r="M88" s="12" t="s">
        <v>1674</v>
      </c>
      <c r="N88" s="11"/>
      <c r="O88" s="11"/>
      <c r="P88" s="11"/>
      <c r="Q88" s="11"/>
      <c r="R88" s="12" t="s">
        <v>54</v>
      </c>
      <c r="S88" s="11"/>
      <c r="T88" s="11" t="s">
        <v>73</v>
      </c>
      <c r="U88" s="11" t="n">
        <f aca="false">COUNTA(K88:P88)</f>
        <v>1</v>
      </c>
      <c r="V88" s="11" t="s">
        <v>1675</v>
      </c>
      <c r="W88" s="13" t="s">
        <v>1676</v>
      </c>
    </row>
    <row r="89" customFormat="false" ht="15" hidden="false" customHeight="false" outlineLevel="0" collapsed="false">
      <c r="A89" s="11" t="n">
        <v>88</v>
      </c>
      <c r="B89" s="11" t="s">
        <v>1677</v>
      </c>
      <c r="C89" s="11" t="s">
        <v>12</v>
      </c>
      <c r="D89" s="11" t="s">
        <v>552</v>
      </c>
      <c r="E89" s="11" t="s">
        <v>1678</v>
      </c>
      <c r="F89" s="11" t="s">
        <v>122</v>
      </c>
      <c r="G89" s="11" t="s">
        <v>1228</v>
      </c>
      <c r="H89" s="11" t="s">
        <v>1679</v>
      </c>
      <c r="I89" s="11" t="str">
        <f aca="false">IF(OR(G89="Gros",AND(H89&lt;&gt;"",S89="Oui")),"A",IF(OR(G89="Moyen",H89&lt;&gt;""),"B","C"))</f>
        <v>B</v>
      </c>
      <c r="J89" s="11" t="s">
        <v>1680</v>
      </c>
      <c r="K89" s="12" t="s">
        <v>1681</v>
      </c>
      <c r="L89" s="11"/>
      <c r="M89" s="12" t="s">
        <v>1682</v>
      </c>
      <c r="N89" s="11"/>
      <c r="O89" s="11" t="s">
        <v>1683</v>
      </c>
      <c r="P89" s="11"/>
      <c r="Q89" s="11"/>
      <c r="R89" s="12" t="s">
        <v>54</v>
      </c>
      <c r="S89" s="11"/>
      <c r="T89" s="11" t="s">
        <v>73</v>
      </c>
      <c r="U89" s="11" t="n">
        <f aca="false">COUNTA(K89:P89)</f>
        <v>3</v>
      </c>
      <c r="V89" s="11" t="s">
        <v>1684</v>
      </c>
      <c r="W89" s="13" t="s">
        <v>1685</v>
      </c>
    </row>
    <row r="90" customFormat="false" ht="15" hidden="false" customHeight="false" outlineLevel="0" collapsed="false">
      <c r="A90" s="11" t="n">
        <v>89</v>
      </c>
      <c r="B90" s="11" t="s">
        <v>1686</v>
      </c>
      <c r="C90" s="11" t="s">
        <v>12</v>
      </c>
      <c r="D90" s="11" t="s">
        <v>1687</v>
      </c>
      <c r="E90" s="11" t="s">
        <v>1688</v>
      </c>
      <c r="F90" s="11" t="s">
        <v>51</v>
      </c>
      <c r="G90" s="11" t="s">
        <v>1228</v>
      </c>
      <c r="H90" s="11"/>
      <c r="I90" s="11" t="str">
        <f aca="false">IF(OR(G90="Gros",AND(H90&lt;&gt;"",S90="Oui")),"A",IF(OR(G90="Moyen",H90&lt;&gt;""),"B","C"))</f>
        <v>B</v>
      </c>
      <c r="J90" s="11" t="s">
        <v>1689</v>
      </c>
      <c r="K90" s="11"/>
      <c r="L90" s="11"/>
      <c r="M90" s="11"/>
      <c r="N90" s="11"/>
      <c r="O90" s="11" t="s">
        <v>1690</v>
      </c>
      <c r="P90" s="11"/>
      <c r="Q90" s="11"/>
      <c r="R90" s="12" t="s">
        <v>54</v>
      </c>
      <c r="S90" s="11"/>
      <c r="T90" s="11" t="s">
        <v>73</v>
      </c>
      <c r="U90" s="11" t="n">
        <f aca="false">COUNTA(K90:P90)</f>
        <v>1</v>
      </c>
      <c r="V90" s="11" t="s">
        <v>1691</v>
      </c>
      <c r="W90" s="13" t="s">
        <v>1658</v>
      </c>
    </row>
    <row r="91" customFormat="false" ht="15" hidden="false" customHeight="false" outlineLevel="0" collapsed="false">
      <c r="A91" s="11" t="n">
        <v>90</v>
      </c>
      <c r="B91" s="11" t="s">
        <v>1692</v>
      </c>
      <c r="C91" s="11" t="s">
        <v>12</v>
      </c>
      <c r="D91" s="11" t="s">
        <v>1693</v>
      </c>
      <c r="E91" s="11" t="s">
        <v>1694</v>
      </c>
      <c r="F91" s="11" t="s">
        <v>122</v>
      </c>
      <c r="G91" s="11" t="s">
        <v>1228</v>
      </c>
      <c r="H91" s="11"/>
      <c r="I91" s="11" t="str">
        <f aca="false">IF(OR(G91="Gros",AND(H91&lt;&gt;"",S91="Oui")),"A",IF(OR(G91="Moyen",H91&lt;&gt;""),"B","C"))</f>
        <v>B</v>
      </c>
      <c r="J91" s="11" t="s">
        <v>1695</v>
      </c>
      <c r="K91" s="11"/>
      <c r="L91" s="11"/>
      <c r="M91" s="12" t="s">
        <v>1696</v>
      </c>
      <c r="N91" s="11"/>
      <c r="O91" s="11" t="s">
        <v>1697</v>
      </c>
      <c r="P91" s="11"/>
      <c r="Q91" s="11"/>
      <c r="R91" s="12" t="s">
        <v>54</v>
      </c>
      <c r="S91" s="11"/>
      <c r="T91" s="11" t="s">
        <v>73</v>
      </c>
      <c r="U91" s="11" t="n">
        <f aca="false">COUNTA(K91:P91)</f>
        <v>2</v>
      </c>
      <c r="V91" s="11" t="s">
        <v>1698</v>
      </c>
      <c r="W91" s="13" t="s">
        <v>1699</v>
      </c>
    </row>
    <row r="92" customFormat="false" ht="15" hidden="false" customHeight="false" outlineLevel="0" collapsed="false">
      <c r="A92" s="11" t="n">
        <v>91</v>
      </c>
      <c r="B92" s="11" t="s">
        <v>1700</v>
      </c>
      <c r="C92" s="11" t="s">
        <v>12</v>
      </c>
      <c r="D92" s="11" t="s">
        <v>638</v>
      </c>
      <c r="E92" s="11"/>
      <c r="F92" s="11" t="s">
        <v>122</v>
      </c>
      <c r="G92" s="11" t="s">
        <v>1228</v>
      </c>
      <c r="H92" s="11" t="s">
        <v>1632</v>
      </c>
      <c r="I92" s="11" t="str">
        <f aca="false">IF(OR(G92="Gros",AND(H92&lt;&gt;"",S92="Oui")),"A",IF(OR(G92="Moyen",H92&lt;&gt;""),"B","C"))</f>
        <v>B</v>
      </c>
      <c r="J92" s="11" t="s">
        <v>1701</v>
      </c>
      <c r="K92" s="11"/>
      <c r="L92" s="11"/>
      <c r="M92" s="11"/>
      <c r="N92" s="11"/>
      <c r="O92" s="11"/>
      <c r="P92" s="11"/>
      <c r="Q92" s="11"/>
      <c r="R92" s="12" t="s">
        <v>54</v>
      </c>
      <c r="S92" s="11"/>
      <c r="T92" s="11" t="s">
        <v>73</v>
      </c>
      <c r="U92" s="11" t="n">
        <f aca="false">COUNTA(K92:P92)</f>
        <v>0</v>
      </c>
      <c r="V92" s="11"/>
      <c r="W92" s="13" t="s">
        <v>1630</v>
      </c>
    </row>
    <row r="93" customFormat="false" ht="15" hidden="false" customHeight="false" outlineLevel="0" collapsed="false">
      <c r="A93" s="11" t="n">
        <v>92</v>
      </c>
      <c r="B93" s="11" t="s">
        <v>1702</v>
      </c>
      <c r="C93" s="11" t="s">
        <v>12</v>
      </c>
      <c r="D93" s="11" t="s">
        <v>657</v>
      </c>
      <c r="E93" s="11" t="s">
        <v>1703</v>
      </c>
      <c r="F93" s="11" t="s">
        <v>51</v>
      </c>
      <c r="G93" s="11" t="s">
        <v>1228</v>
      </c>
      <c r="H93" s="11"/>
      <c r="I93" s="11" t="str">
        <f aca="false">IF(OR(G93="Gros",AND(H93&lt;&gt;"",S93="Oui")),"A",IF(OR(G93="Moyen",H93&lt;&gt;""),"B","C"))</f>
        <v>B</v>
      </c>
      <c r="J93" s="11" t="s">
        <v>1704</v>
      </c>
      <c r="K93" s="11"/>
      <c r="L93" s="11"/>
      <c r="M93" s="11"/>
      <c r="N93" s="11"/>
      <c r="O93" s="11"/>
      <c r="P93" s="11"/>
      <c r="Q93" s="11"/>
      <c r="R93" s="12" t="s">
        <v>54</v>
      </c>
      <c r="S93" s="11"/>
      <c r="T93" s="11" t="s">
        <v>73</v>
      </c>
      <c r="U93" s="11" t="n">
        <f aca="false">COUNTA(K93:P93)</f>
        <v>0</v>
      </c>
      <c r="V93" s="11" t="s">
        <v>1705</v>
      </c>
      <c r="W93" s="13" t="s">
        <v>1706</v>
      </c>
    </row>
    <row r="94" customFormat="false" ht="15" hidden="false" customHeight="false" outlineLevel="0" collapsed="false">
      <c r="A94" s="11" t="n">
        <v>93</v>
      </c>
      <c r="B94" s="11" t="s">
        <v>1707</v>
      </c>
      <c r="C94" s="11" t="s">
        <v>12</v>
      </c>
      <c r="D94" s="11" t="s">
        <v>657</v>
      </c>
      <c r="E94" s="11" t="s">
        <v>1708</v>
      </c>
      <c r="F94" s="11" t="s">
        <v>51</v>
      </c>
      <c r="G94" s="11" t="s">
        <v>1228</v>
      </c>
      <c r="H94" s="11" t="s">
        <v>1709</v>
      </c>
      <c r="I94" s="11" t="str">
        <f aca="false">IF(OR(G94="Gros",AND(H94&lt;&gt;"",S94="Oui")),"A",IF(OR(G94="Moyen",H94&lt;&gt;""),"B","C"))</f>
        <v>B</v>
      </c>
      <c r="J94" s="11" t="s">
        <v>1710</v>
      </c>
      <c r="K94" s="11"/>
      <c r="L94" s="12" t="s">
        <v>1711</v>
      </c>
      <c r="M94" s="11"/>
      <c r="N94" s="11"/>
      <c r="O94" s="11" t="s">
        <v>1712</v>
      </c>
      <c r="P94" s="11"/>
      <c r="Q94" s="11"/>
      <c r="R94" s="12" t="s">
        <v>54</v>
      </c>
      <c r="S94" s="11"/>
      <c r="T94" s="11" t="s">
        <v>73</v>
      </c>
      <c r="U94" s="11" t="n">
        <f aca="false">COUNTA(K94:P94)</f>
        <v>2</v>
      </c>
      <c r="V94" s="11" t="s">
        <v>1713</v>
      </c>
      <c r="W94" s="13" t="s">
        <v>1714</v>
      </c>
    </row>
    <row r="95" customFormat="false" ht="15" hidden="false" customHeight="false" outlineLevel="0" collapsed="false">
      <c r="A95" s="11" t="n">
        <v>94</v>
      </c>
      <c r="B95" s="11" t="s">
        <v>1715</v>
      </c>
      <c r="C95" s="11" t="s">
        <v>12</v>
      </c>
      <c r="D95" s="11" t="s">
        <v>717</v>
      </c>
      <c r="E95" s="11" t="s">
        <v>1716</v>
      </c>
      <c r="F95" s="11" t="s">
        <v>51</v>
      </c>
      <c r="G95" s="11" t="s">
        <v>1228</v>
      </c>
      <c r="H95" s="11" t="s">
        <v>1717</v>
      </c>
      <c r="I95" s="11" t="str">
        <f aca="false">IF(OR(G95="Gros",AND(H95&lt;&gt;"",S95="Oui")),"A",IF(OR(G95="Moyen",H95&lt;&gt;""),"B","C"))</f>
        <v>B</v>
      </c>
      <c r="J95" s="11" t="s">
        <v>1718</v>
      </c>
      <c r="K95" s="11"/>
      <c r="L95" s="11"/>
      <c r="M95" s="11"/>
      <c r="N95" s="11"/>
      <c r="O95" s="11"/>
      <c r="P95" s="11"/>
      <c r="Q95" s="11"/>
      <c r="R95" s="12" t="s">
        <v>54</v>
      </c>
      <c r="S95" s="11"/>
      <c r="T95" s="11" t="s">
        <v>73</v>
      </c>
      <c r="U95" s="11" t="n">
        <f aca="false">COUNTA(K95:P95)</f>
        <v>0</v>
      </c>
      <c r="V95" s="11" t="s">
        <v>1719</v>
      </c>
      <c r="W95" s="13" t="s">
        <v>1720</v>
      </c>
    </row>
    <row r="96" customFormat="false" ht="15" hidden="false" customHeight="false" outlineLevel="0" collapsed="false">
      <c r="A96" s="11" t="n">
        <v>95</v>
      </c>
      <c r="B96" s="11" t="s">
        <v>1721</v>
      </c>
      <c r="C96" s="11" t="s">
        <v>12</v>
      </c>
      <c r="D96" s="11" t="s">
        <v>1722</v>
      </c>
      <c r="E96" s="11" t="s">
        <v>1722</v>
      </c>
      <c r="F96" s="11" t="s">
        <v>51</v>
      </c>
      <c r="G96" s="11" t="s">
        <v>1228</v>
      </c>
      <c r="H96" s="11"/>
      <c r="I96" s="11" t="str">
        <f aca="false">IF(OR(G96="Gros",AND(H96&lt;&gt;"",S96="Oui")),"A",IF(OR(G96="Moyen",H96&lt;&gt;""),"B","C"))</f>
        <v>B</v>
      </c>
      <c r="J96" s="11" t="s">
        <v>1689</v>
      </c>
      <c r="K96" s="11"/>
      <c r="L96" s="11"/>
      <c r="M96" s="11"/>
      <c r="N96" s="11"/>
      <c r="O96" s="11" t="s">
        <v>1723</v>
      </c>
      <c r="P96" s="11"/>
      <c r="Q96" s="11"/>
      <c r="R96" s="12" t="s">
        <v>54</v>
      </c>
      <c r="S96" s="11"/>
      <c r="T96" s="11" t="s">
        <v>73</v>
      </c>
      <c r="U96" s="11" t="n">
        <f aca="false">COUNTA(K96:P96)</f>
        <v>1</v>
      </c>
      <c r="V96" s="11" t="s">
        <v>1724</v>
      </c>
      <c r="W96" s="13" t="s">
        <v>1670</v>
      </c>
    </row>
    <row r="97" customFormat="false" ht="15" hidden="false" customHeight="false" outlineLevel="0" collapsed="false">
      <c r="A97" s="11" t="n">
        <v>96</v>
      </c>
      <c r="B97" s="11" t="s">
        <v>1725</v>
      </c>
      <c r="C97" s="11" t="s">
        <v>12</v>
      </c>
      <c r="D97" s="11" t="s">
        <v>1726</v>
      </c>
      <c r="E97" s="11"/>
      <c r="F97" s="11" t="s">
        <v>156</v>
      </c>
      <c r="G97" s="11" t="s">
        <v>1270</v>
      </c>
      <c r="H97" s="11"/>
      <c r="I97" s="11" t="str">
        <f aca="false">IF(OR(G97="Gros",AND(H97&lt;&gt;"",S97="Oui")),"A",IF(OR(G97="Moyen",H97&lt;&gt;""),"B","C"))</f>
        <v>C</v>
      </c>
      <c r="J97" s="11" t="s">
        <v>1727</v>
      </c>
      <c r="K97" s="11"/>
      <c r="L97" s="11"/>
      <c r="M97" s="11"/>
      <c r="N97" s="11"/>
      <c r="O97" s="11" t="s">
        <v>1728</v>
      </c>
      <c r="P97" s="11"/>
      <c r="Q97" s="11"/>
      <c r="R97" s="12" t="s">
        <v>54</v>
      </c>
      <c r="S97" s="11"/>
      <c r="T97" s="11" t="s">
        <v>73</v>
      </c>
      <c r="U97" s="11" t="n">
        <f aca="false">COUNTA(K97:P97)</f>
        <v>1</v>
      </c>
      <c r="V97" s="11"/>
      <c r="W97" s="13" t="s">
        <v>1706</v>
      </c>
    </row>
    <row r="98" customFormat="false" ht="15" hidden="false" customHeight="false" outlineLevel="0" collapsed="false">
      <c r="A98" s="11" t="n">
        <v>97</v>
      </c>
      <c r="B98" s="11" t="s">
        <v>1729</v>
      </c>
      <c r="C98" s="11" t="s">
        <v>12</v>
      </c>
      <c r="D98" s="11" t="s">
        <v>492</v>
      </c>
      <c r="E98" s="11" t="s">
        <v>1730</v>
      </c>
      <c r="F98" s="11" t="s">
        <v>1241</v>
      </c>
      <c r="G98" s="11" t="s">
        <v>1270</v>
      </c>
      <c r="H98" s="11"/>
      <c r="I98" s="11" t="str">
        <f aca="false">IF(OR(G98="Gros",AND(H98&lt;&gt;"",S98="Oui")),"A",IF(OR(G98="Moyen",H98&lt;&gt;""),"B","C"))</f>
        <v>C</v>
      </c>
      <c r="J98" s="11" t="s">
        <v>1731</v>
      </c>
      <c r="K98" s="11"/>
      <c r="L98" s="11"/>
      <c r="M98" s="11"/>
      <c r="N98" s="11"/>
      <c r="O98" s="11"/>
      <c r="P98" s="11"/>
      <c r="Q98" s="11"/>
      <c r="R98" s="12" t="s">
        <v>54</v>
      </c>
      <c r="S98" s="11"/>
      <c r="T98" s="11" t="s">
        <v>73</v>
      </c>
      <c r="U98" s="11" t="n">
        <f aca="false">COUNTA(K98:P98)</f>
        <v>0</v>
      </c>
      <c r="V98" s="11" t="s">
        <v>1732</v>
      </c>
      <c r="W98" s="13" t="s">
        <v>1733</v>
      </c>
    </row>
    <row r="99" customFormat="false" ht="15" hidden="false" customHeight="false" outlineLevel="0" collapsed="false">
      <c r="A99" s="11" t="n">
        <v>98</v>
      </c>
      <c r="B99" s="11" t="s">
        <v>1734</v>
      </c>
      <c r="C99" s="11" t="s">
        <v>12</v>
      </c>
      <c r="D99" s="11" t="s">
        <v>591</v>
      </c>
      <c r="E99" s="11" t="s">
        <v>1735</v>
      </c>
      <c r="F99" s="11" t="s">
        <v>51</v>
      </c>
      <c r="G99" s="11" t="s">
        <v>1270</v>
      </c>
      <c r="H99" s="11"/>
      <c r="I99" s="11" t="str">
        <f aca="false">IF(OR(G99="Gros",AND(H99&lt;&gt;"",S99="Oui")),"A",IF(OR(G99="Moyen",H99&lt;&gt;""),"B","C"))</f>
        <v>C</v>
      </c>
      <c r="J99" s="11" t="s">
        <v>1736</v>
      </c>
      <c r="K99" s="11"/>
      <c r="L99" s="11"/>
      <c r="M99" s="11"/>
      <c r="N99" s="11"/>
      <c r="O99" s="11"/>
      <c r="P99" s="11"/>
      <c r="Q99" s="11"/>
      <c r="R99" s="12" t="s">
        <v>54</v>
      </c>
      <c r="S99" s="11"/>
      <c r="T99" s="11" t="s">
        <v>73</v>
      </c>
      <c r="U99" s="11" t="n">
        <f aca="false">COUNTA(K99:P99)</f>
        <v>0</v>
      </c>
      <c r="V99" s="11" t="s">
        <v>1737</v>
      </c>
      <c r="W99" s="13" t="s">
        <v>1720</v>
      </c>
    </row>
    <row r="100" customFormat="false" ht="15" hidden="false" customHeight="false" outlineLevel="0" collapsed="false">
      <c r="A100" s="11" t="n">
        <v>99</v>
      </c>
      <c r="B100" s="11" t="s">
        <v>1738</v>
      </c>
      <c r="C100" s="11" t="s">
        <v>12</v>
      </c>
      <c r="D100" s="11" t="s">
        <v>1739</v>
      </c>
      <c r="E100" s="11" t="s">
        <v>1740</v>
      </c>
      <c r="F100" s="11" t="s">
        <v>51</v>
      </c>
      <c r="G100" s="11" t="s">
        <v>1270</v>
      </c>
      <c r="H100" s="11"/>
      <c r="I100" s="11" t="str">
        <f aca="false">IF(OR(G100="Gros",AND(H100&lt;&gt;"",S100="Oui")),"A",IF(OR(G100="Moyen",H100&lt;&gt;""),"B","C"))</f>
        <v>C</v>
      </c>
      <c r="J100" s="11" t="s">
        <v>1741</v>
      </c>
      <c r="K100" s="11"/>
      <c r="L100" s="11"/>
      <c r="M100" s="12" t="s">
        <v>1742</v>
      </c>
      <c r="N100" s="11"/>
      <c r="O100" s="11" t="s">
        <v>1743</v>
      </c>
      <c r="P100" s="11"/>
      <c r="Q100" s="11"/>
      <c r="R100" s="12" t="s">
        <v>54</v>
      </c>
      <c r="S100" s="11"/>
      <c r="T100" s="11" t="s">
        <v>73</v>
      </c>
      <c r="U100" s="11" t="n">
        <f aca="false">COUNTA(K100:P100)</f>
        <v>2</v>
      </c>
      <c r="V100" s="11" t="s">
        <v>1744</v>
      </c>
      <c r="W100" s="13" t="s">
        <v>1745</v>
      </c>
    </row>
    <row r="101" customFormat="false" ht="15" hidden="false" customHeight="false" outlineLevel="0" collapsed="false">
      <c r="A101" s="11" t="n">
        <v>100</v>
      </c>
      <c r="B101" s="11" t="s">
        <v>1746</v>
      </c>
      <c r="C101" s="11" t="s">
        <v>12</v>
      </c>
      <c r="D101" s="11" t="s">
        <v>1747</v>
      </c>
      <c r="E101" s="11"/>
      <c r="F101" s="11" t="s">
        <v>156</v>
      </c>
      <c r="G101" s="11" t="s">
        <v>1270</v>
      </c>
      <c r="H101" s="11"/>
      <c r="I101" s="11" t="str">
        <f aca="false">IF(OR(G101="Gros",AND(H101&lt;&gt;"",S101="Oui")),"A",IF(OR(G101="Moyen",H101&lt;&gt;""),"B","C"))</f>
        <v>C</v>
      </c>
      <c r="J101" s="11" t="s">
        <v>1748</v>
      </c>
      <c r="K101" s="11"/>
      <c r="L101" s="11"/>
      <c r="M101" s="11"/>
      <c r="N101" s="11"/>
      <c r="O101" s="11"/>
      <c r="P101" s="11"/>
      <c r="Q101" s="11"/>
      <c r="R101" s="12" t="s">
        <v>54</v>
      </c>
      <c r="S101" s="11"/>
      <c r="T101" s="11" t="s">
        <v>73</v>
      </c>
      <c r="U101" s="11" t="n">
        <f aca="false">COUNTA(K101:P101)</f>
        <v>0</v>
      </c>
      <c r="V101" s="11"/>
      <c r="W101" s="13" t="s">
        <v>1706</v>
      </c>
    </row>
    <row r="102" customFormat="false" ht="15" hidden="false" customHeight="false" outlineLevel="0" collapsed="false">
      <c r="A102" s="11" t="n">
        <v>101</v>
      </c>
      <c r="B102" s="11" t="s">
        <v>1749</v>
      </c>
      <c r="C102" s="11" t="s">
        <v>12</v>
      </c>
      <c r="D102" s="11" t="s">
        <v>1747</v>
      </c>
      <c r="E102" s="11" t="s">
        <v>1750</v>
      </c>
      <c r="F102" s="11" t="s">
        <v>156</v>
      </c>
      <c r="G102" s="11" t="s">
        <v>1270</v>
      </c>
      <c r="H102" s="11"/>
      <c r="I102" s="11" t="str">
        <f aca="false">IF(OR(G102="Gros",AND(H102&lt;&gt;"",S102="Oui")),"A",IF(OR(G102="Moyen",H102&lt;&gt;""),"B","C"))</f>
        <v>C</v>
      </c>
      <c r="J102" s="11" t="s">
        <v>1751</v>
      </c>
      <c r="K102" s="11"/>
      <c r="L102" s="11"/>
      <c r="M102" s="11"/>
      <c r="N102" s="11"/>
      <c r="O102" s="11" t="s">
        <v>1752</v>
      </c>
      <c r="P102" s="11"/>
      <c r="Q102" s="11"/>
      <c r="R102" s="12" t="s">
        <v>54</v>
      </c>
      <c r="S102" s="11"/>
      <c r="T102" s="11" t="s">
        <v>73</v>
      </c>
      <c r="U102" s="11" t="n">
        <f aca="false">COUNTA(K102:P102)</f>
        <v>1</v>
      </c>
      <c r="V102" s="11"/>
      <c r="W102" s="13" t="s">
        <v>1706</v>
      </c>
    </row>
    <row r="103" customFormat="false" ht="15" hidden="false" customHeight="false" outlineLevel="0" collapsed="false">
      <c r="A103" s="11" t="n">
        <v>102</v>
      </c>
      <c r="B103" s="11" t="s">
        <v>1753</v>
      </c>
      <c r="C103" s="11" t="s">
        <v>12</v>
      </c>
      <c r="D103" s="11" t="s">
        <v>1747</v>
      </c>
      <c r="E103" s="11" t="s">
        <v>1750</v>
      </c>
      <c r="F103" s="11" t="s">
        <v>156</v>
      </c>
      <c r="G103" s="11" t="s">
        <v>1270</v>
      </c>
      <c r="H103" s="11"/>
      <c r="I103" s="11" t="str">
        <f aca="false">IF(OR(G103="Gros",AND(H103&lt;&gt;"",S103="Oui")),"A",IF(OR(G103="Moyen",H103&lt;&gt;""),"B","C"))</f>
        <v>C</v>
      </c>
      <c r="J103" s="11" t="s">
        <v>1754</v>
      </c>
      <c r="K103" s="11"/>
      <c r="L103" s="11"/>
      <c r="M103" s="11"/>
      <c r="N103" s="11"/>
      <c r="O103" s="11"/>
      <c r="P103" s="11"/>
      <c r="Q103" s="11"/>
      <c r="R103" s="12" t="s">
        <v>54</v>
      </c>
      <c r="S103" s="11"/>
      <c r="T103" s="11" t="s">
        <v>73</v>
      </c>
      <c r="U103" s="11" t="n">
        <f aca="false">COUNTA(K103:P103)</f>
        <v>0</v>
      </c>
      <c r="V103" s="11" t="s">
        <v>1755</v>
      </c>
      <c r="W103" s="13" t="s">
        <v>1756</v>
      </c>
    </row>
    <row r="104" customFormat="false" ht="15" hidden="false" customHeight="false" outlineLevel="0" collapsed="false">
      <c r="A104" s="11" t="n">
        <v>103</v>
      </c>
      <c r="B104" s="11" t="s">
        <v>1757</v>
      </c>
      <c r="C104" s="11" t="s">
        <v>12</v>
      </c>
      <c r="D104" s="11" t="s">
        <v>717</v>
      </c>
      <c r="E104" s="11"/>
      <c r="F104" s="11" t="s">
        <v>156</v>
      </c>
      <c r="G104" s="11" t="s">
        <v>1270</v>
      </c>
      <c r="H104" s="11"/>
      <c r="I104" s="11" t="str">
        <f aca="false">IF(OR(G104="Gros",AND(H104&lt;&gt;"",S104="Oui")),"A",IF(OR(G104="Moyen",H104&lt;&gt;""),"B","C"))</f>
        <v>C</v>
      </c>
      <c r="J104" s="11" t="s">
        <v>1758</v>
      </c>
      <c r="K104" s="11"/>
      <c r="L104" s="11"/>
      <c r="M104" s="11"/>
      <c r="N104" s="11"/>
      <c r="O104" s="11"/>
      <c r="P104" s="11"/>
      <c r="Q104" s="11"/>
      <c r="R104" s="12" t="s">
        <v>54</v>
      </c>
      <c r="S104" s="11"/>
      <c r="T104" s="11" t="s">
        <v>73</v>
      </c>
      <c r="U104" s="11" t="n">
        <f aca="false">COUNTA(K104:P104)</f>
        <v>0</v>
      </c>
      <c r="V104" s="11"/>
      <c r="W104" s="13" t="s">
        <v>1706</v>
      </c>
    </row>
    <row r="105" customFormat="false" ht="15" hidden="false" customHeight="false" outlineLevel="0" collapsed="false">
      <c r="A105" s="11" t="n">
        <v>104</v>
      </c>
      <c r="B105" s="11" t="s">
        <v>1759</v>
      </c>
      <c r="C105" s="11" t="s">
        <v>12</v>
      </c>
      <c r="D105" s="11" t="s">
        <v>723</v>
      </c>
      <c r="E105" s="11"/>
      <c r="F105" s="11" t="s">
        <v>133</v>
      </c>
      <c r="G105" s="11" t="s">
        <v>1270</v>
      </c>
      <c r="H105" s="11"/>
      <c r="I105" s="11" t="str">
        <f aca="false">IF(OR(G105="Gros",AND(H105&lt;&gt;"",S105="Oui")),"A",IF(OR(G105="Moyen",H105&lt;&gt;""),"B","C"))</f>
        <v>C</v>
      </c>
      <c r="J105" s="11" t="s">
        <v>1760</v>
      </c>
      <c r="K105" s="11"/>
      <c r="L105" s="11"/>
      <c r="M105" s="12" t="s">
        <v>1761</v>
      </c>
      <c r="N105" s="11"/>
      <c r="O105" s="11"/>
      <c r="P105" s="11"/>
      <c r="Q105" s="11"/>
      <c r="R105" s="11"/>
      <c r="S105" s="11"/>
      <c r="T105" s="11" t="s">
        <v>55</v>
      </c>
      <c r="U105" s="11" t="n">
        <f aca="false">COUNTA(K105:P105)</f>
        <v>1</v>
      </c>
      <c r="V105" s="11" t="s">
        <v>1762</v>
      </c>
      <c r="W105" s="13" t="s">
        <v>1763</v>
      </c>
    </row>
    <row r="106" customFormat="false" ht="15" hidden="false" customHeight="false" outlineLevel="0" collapsed="false">
      <c r="A106" s="11" t="n">
        <v>105</v>
      </c>
      <c r="B106" s="11" t="s">
        <v>1764</v>
      </c>
      <c r="C106" s="11" t="s">
        <v>12</v>
      </c>
      <c r="D106" s="11" t="s">
        <v>723</v>
      </c>
      <c r="E106" s="11" t="s">
        <v>1765</v>
      </c>
      <c r="F106" s="11" t="s">
        <v>156</v>
      </c>
      <c r="G106" s="11" t="s">
        <v>1270</v>
      </c>
      <c r="H106" s="11"/>
      <c r="I106" s="11" t="str">
        <f aca="false">IF(OR(G106="Gros",AND(H106&lt;&gt;"",S106="Oui")),"A",IF(OR(G106="Moyen",H106&lt;&gt;""),"B","C"))</f>
        <v>C</v>
      </c>
      <c r="J106" s="11" t="s">
        <v>1766</v>
      </c>
      <c r="K106" s="11"/>
      <c r="L106" s="11"/>
      <c r="M106" s="11"/>
      <c r="N106" s="11"/>
      <c r="O106" s="11" t="s">
        <v>1767</v>
      </c>
      <c r="P106" s="11"/>
      <c r="Q106" s="11"/>
      <c r="R106" s="12" t="s">
        <v>54</v>
      </c>
      <c r="S106" s="11"/>
      <c r="T106" s="11" t="s">
        <v>73</v>
      </c>
      <c r="U106" s="11" t="n">
        <f aca="false">COUNTA(K106:P106)</f>
        <v>1</v>
      </c>
      <c r="V106" s="11"/>
      <c r="W106" s="13" t="s">
        <v>1768</v>
      </c>
    </row>
    <row r="107" customFormat="false" ht="15" hidden="false" customHeight="false" outlineLevel="0" collapsed="false">
      <c r="A107" s="11" t="n">
        <v>106</v>
      </c>
      <c r="B107" s="11" t="s">
        <v>1769</v>
      </c>
      <c r="C107" s="11" t="s">
        <v>12</v>
      </c>
      <c r="D107" s="11" t="s">
        <v>1770</v>
      </c>
      <c r="E107" s="11"/>
      <c r="F107" s="11" t="s">
        <v>51</v>
      </c>
      <c r="G107" s="11" t="s">
        <v>1270</v>
      </c>
      <c r="H107" s="11"/>
      <c r="I107" s="11" t="str">
        <f aca="false">IF(OR(G107="Gros",AND(H107&lt;&gt;"",S107="Oui")),"A",IF(OR(G107="Moyen",H107&lt;&gt;""),"B","C"))</f>
        <v>C</v>
      </c>
      <c r="J107" s="11" t="s">
        <v>1771</v>
      </c>
      <c r="K107" s="11"/>
      <c r="L107" s="11"/>
      <c r="M107" s="12" t="s">
        <v>1772</v>
      </c>
      <c r="N107" s="11"/>
      <c r="O107" s="11"/>
      <c r="P107" s="11"/>
      <c r="Q107" s="11"/>
      <c r="R107" s="12" t="s">
        <v>54</v>
      </c>
      <c r="S107" s="11"/>
      <c r="T107" s="11" t="s">
        <v>73</v>
      </c>
      <c r="U107" s="11" t="n">
        <f aca="false">COUNTA(K107:P107)</f>
        <v>1</v>
      </c>
      <c r="V107" s="11"/>
      <c r="W107" s="13" t="s">
        <v>1773</v>
      </c>
    </row>
    <row r="108" customFormat="false" ht="15" hidden="false" customHeight="false" outlineLevel="0" collapsed="false">
      <c r="A108" s="11" t="n">
        <v>107</v>
      </c>
      <c r="B108" s="11" t="s">
        <v>1774</v>
      </c>
      <c r="C108" s="11" t="s">
        <v>12</v>
      </c>
      <c r="D108" s="11" t="s">
        <v>1775</v>
      </c>
      <c r="E108" s="11"/>
      <c r="F108" s="11" t="s">
        <v>156</v>
      </c>
      <c r="G108" s="11" t="s">
        <v>1270</v>
      </c>
      <c r="H108" s="11" t="s">
        <v>1776</v>
      </c>
      <c r="I108" s="11" t="str">
        <f aca="false">IF(OR(G108="Gros",AND(H108&lt;&gt;"",S108="Oui")),"A",IF(OR(G108="Moyen",H108&lt;&gt;""),"B","C"))</f>
        <v>B</v>
      </c>
      <c r="J108" s="11" t="s">
        <v>1777</v>
      </c>
      <c r="K108" s="11"/>
      <c r="L108" s="11"/>
      <c r="M108" s="11"/>
      <c r="N108" s="11"/>
      <c r="O108" s="11"/>
      <c r="P108" s="11"/>
      <c r="Q108" s="11"/>
      <c r="R108" s="12" t="s">
        <v>54</v>
      </c>
      <c r="S108" s="11"/>
      <c r="T108" s="11" t="s">
        <v>73</v>
      </c>
      <c r="U108" s="11" t="n">
        <f aca="false">COUNTA(K108:P108)</f>
        <v>0</v>
      </c>
      <c r="V108" s="11" t="s">
        <v>1778</v>
      </c>
      <c r="W108" s="13" t="s">
        <v>1733</v>
      </c>
    </row>
    <row r="109" customFormat="false" ht="15" hidden="false" customHeight="false" outlineLevel="0" collapsed="false">
      <c r="A109" s="11" t="n">
        <v>108</v>
      </c>
      <c r="B109" s="11" t="s">
        <v>1779</v>
      </c>
      <c r="C109" s="11" t="s">
        <v>12</v>
      </c>
      <c r="D109" s="11"/>
      <c r="E109" s="11"/>
      <c r="F109" s="11" t="s">
        <v>452</v>
      </c>
      <c r="G109" s="11" t="s">
        <v>1402</v>
      </c>
      <c r="H109" s="11" t="s">
        <v>1780</v>
      </c>
      <c r="I109" s="11" t="str">
        <f aca="false">IF(OR(G109="Gros",AND(H109&lt;&gt;"",S109="Oui")),"A",IF(OR(G109="Moyen",H109&lt;&gt;""),"B","C"))</f>
        <v>B</v>
      </c>
      <c r="J109" s="11" t="s">
        <v>1781</v>
      </c>
      <c r="K109" s="11"/>
      <c r="L109" s="11"/>
      <c r="M109" s="11"/>
      <c r="N109" s="11"/>
      <c r="O109" s="11"/>
      <c r="P109" s="11"/>
      <c r="Q109" s="11" t="s">
        <v>1782</v>
      </c>
      <c r="R109" s="11"/>
      <c r="S109" s="11"/>
      <c r="T109" s="11" t="s">
        <v>55</v>
      </c>
      <c r="U109" s="11" t="n">
        <f aca="false">COUNTA(K109:P109)</f>
        <v>0</v>
      </c>
      <c r="V109" s="11" t="s">
        <v>1783</v>
      </c>
      <c r="W109" s="13" t="s">
        <v>1784</v>
      </c>
    </row>
    <row r="110" customFormat="false" ht="15" hidden="false" customHeight="false" outlineLevel="0" collapsed="false">
      <c r="A110" s="11" t="n">
        <v>109</v>
      </c>
      <c r="B110" s="11" t="s">
        <v>1785</v>
      </c>
      <c r="C110" s="11" t="s">
        <v>12</v>
      </c>
      <c r="D110" s="11"/>
      <c r="E110" s="11"/>
      <c r="F110" s="11" t="s">
        <v>452</v>
      </c>
      <c r="G110" s="11" t="s">
        <v>1402</v>
      </c>
      <c r="H110" s="11"/>
      <c r="I110" s="11" t="str">
        <f aca="false">IF(OR(G110="Gros",AND(H110&lt;&gt;"",S110="Oui")),"A",IF(OR(G110="Moyen",H110&lt;&gt;""),"B","C"))</f>
        <v>C</v>
      </c>
      <c r="J110" s="11" t="s">
        <v>1786</v>
      </c>
      <c r="K110" s="11"/>
      <c r="L110" s="11"/>
      <c r="M110" s="11"/>
      <c r="N110" s="11"/>
      <c r="O110" s="11"/>
      <c r="P110" s="11"/>
      <c r="Q110" s="11" t="s">
        <v>1787</v>
      </c>
      <c r="R110" s="11"/>
      <c r="S110" s="11"/>
      <c r="T110" s="11" t="s">
        <v>55</v>
      </c>
      <c r="U110" s="11" t="n">
        <f aca="false">COUNTA(K110:P110)</f>
        <v>0</v>
      </c>
      <c r="V110" s="11" t="s">
        <v>1788</v>
      </c>
      <c r="W110" s="13" t="s">
        <v>1787</v>
      </c>
    </row>
    <row r="111" customFormat="false" ht="15" hidden="false" customHeight="false" outlineLevel="0" collapsed="false">
      <c r="A111" s="11" t="n">
        <v>110</v>
      </c>
      <c r="B111" s="11" t="s">
        <v>1789</v>
      </c>
      <c r="C111" s="11" t="s">
        <v>12</v>
      </c>
      <c r="D111" s="11" t="s">
        <v>1790</v>
      </c>
      <c r="E111" s="11"/>
      <c r="F111" s="11" t="s">
        <v>51</v>
      </c>
      <c r="G111" s="11" t="s">
        <v>1402</v>
      </c>
      <c r="H111" s="11"/>
      <c r="I111" s="11" t="str">
        <f aca="false">IF(OR(G111="Gros",AND(H111&lt;&gt;"",S111="Oui")),"A",IF(OR(G111="Moyen",H111&lt;&gt;""),"B","C"))</f>
        <v>C</v>
      </c>
      <c r="J111" s="11" t="s">
        <v>1791</v>
      </c>
      <c r="K111" s="11"/>
      <c r="L111" s="11"/>
      <c r="M111" s="11"/>
      <c r="N111" s="11"/>
      <c r="O111" s="11" t="s">
        <v>1792</v>
      </c>
      <c r="P111" s="11"/>
      <c r="Q111" s="11"/>
      <c r="R111" s="12" t="s">
        <v>54</v>
      </c>
      <c r="S111" s="11"/>
      <c r="T111" s="11" t="s">
        <v>73</v>
      </c>
      <c r="U111" s="11" t="n">
        <f aca="false">COUNTA(K111:P111)</f>
        <v>1</v>
      </c>
      <c r="V111" s="11"/>
      <c r="W111" s="13" t="s">
        <v>1706</v>
      </c>
    </row>
    <row r="112" customFormat="false" ht="15" hidden="false" customHeight="false" outlineLevel="0" collapsed="false">
      <c r="A112" s="11" t="n">
        <v>111</v>
      </c>
      <c r="B112" s="11" t="s">
        <v>1793</v>
      </c>
      <c r="C112" s="11" t="s">
        <v>12</v>
      </c>
      <c r="D112" s="11" t="s">
        <v>1794</v>
      </c>
      <c r="E112" s="11"/>
      <c r="F112" s="11" t="s">
        <v>51</v>
      </c>
      <c r="G112" s="11" t="s">
        <v>1402</v>
      </c>
      <c r="H112" s="11"/>
      <c r="I112" s="11" t="str">
        <f aca="false">IF(OR(G112="Gros",AND(H112&lt;&gt;"",S112="Oui")),"A",IF(OR(G112="Moyen",H112&lt;&gt;""),"B","C"))</f>
        <v>C</v>
      </c>
      <c r="J112" s="11" t="s">
        <v>1795</v>
      </c>
      <c r="K112" s="11"/>
      <c r="L112" s="11"/>
      <c r="M112" s="11"/>
      <c r="N112" s="11"/>
      <c r="O112" s="11"/>
      <c r="P112" s="11"/>
      <c r="Q112" s="11"/>
      <c r="R112" s="12" t="s">
        <v>54</v>
      </c>
      <c r="S112" s="11"/>
      <c r="T112" s="11" t="s">
        <v>73</v>
      </c>
      <c r="U112" s="11" t="n">
        <f aca="false">COUNTA(K112:P112)</f>
        <v>0</v>
      </c>
      <c r="V112" s="11"/>
      <c r="W112" s="13" t="s">
        <v>1706</v>
      </c>
    </row>
    <row r="113" customFormat="false" ht="15" hidden="false" customHeight="false" outlineLevel="0" collapsed="false">
      <c r="A113" s="11" t="n">
        <v>112</v>
      </c>
      <c r="B113" s="11" t="s">
        <v>1796</v>
      </c>
      <c r="C113" s="11" t="s">
        <v>12</v>
      </c>
      <c r="D113" s="11" t="s">
        <v>1797</v>
      </c>
      <c r="E113" s="11"/>
      <c r="F113" s="11" t="s">
        <v>51</v>
      </c>
      <c r="G113" s="11" t="s">
        <v>1402</v>
      </c>
      <c r="H113" s="11"/>
      <c r="I113" s="11" t="str">
        <f aca="false">IF(OR(G113="Gros",AND(H113&lt;&gt;"",S113="Oui")),"A",IF(OR(G113="Moyen",H113&lt;&gt;""),"B","C"))</f>
        <v>C</v>
      </c>
      <c r="J113" s="11" t="s">
        <v>1798</v>
      </c>
      <c r="K113" s="11"/>
      <c r="L113" s="11"/>
      <c r="M113" s="11"/>
      <c r="N113" s="11"/>
      <c r="O113" s="11"/>
      <c r="P113" s="11"/>
      <c r="Q113" s="11"/>
      <c r="R113" s="12" t="s">
        <v>54</v>
      </c>
      <c r="S113" s="11"/>
      <c r="T113" s="11" t="s">
        <v>73</v>
      </c>
      <c r="U113" s="11" t="n">
        <f aca="false">COUNTA(K113:P113)</f>
        <v>0</v>
      </c>
      <c r="V113" s="11"/>
      <c r="W113" s="13" t="s">
        <v>1706</v>
      </c>
    </row>
    <row r="114" customFormat="false" ht="15" hidden="false" customHeight="false" outlineLevel="0" collapsed="false">
      <c r="A114" s="11" t="n">
        <v>113</v>
      </c>
      <c r="B114" s="11" t="s">
        <v>1799</v>
      </c>
      <c r="C114" s="11" t="s">
        <v>12</v>
      </c>
      <c r="D114" s="11" t="s">
        <v>492</v>
      </c>
      <c r="E114" s="11" t="s">
        <v>1800</v>
      </c>
      <c r="F114" s="11" t="s">
        <v>51</v>
      </c>
      <c r="G114" s="11" t="s">
        <v>1402</v>
      </c>
      <c r="H114" s="11"/>
      <c r="I114" s="11" t="str">
        <f aca="false">IF(OR(G114="Gros",AND(H114&lt;&gt;"",S114="Oui")),"A",IF(OR(G114="Moyen",H114&lt;&gt;""),"B","C"))</f>
        <v>C</v>
      </c>
      <c r="J114" s="11" t="s">
        <v>1791</v>
      </c>
      <c r="K114" s="11"/>
      <c r="L114" s="11"/>
      <c r="M114" s="11"/>
      <c r="N114" s="11"/>
      <c r="O114" s="11"/>
      <c r="P114" s="11"/>
      <c r="Q114" s="11"/>
      <c r="R114" s="12" t="s">
        <v>54</v>
      </c>
      <c r="S114" s="11"/>
      <c r="T114" s="11" t="s">
        <v>73</v>
      </c>
      <c r="U114" s="11" t="n">
        <f aca="false">COUNTA(K114:P114)</f>
        <v>0</v>
      </c>
      <c r="V114" s="11"/>
      <c r="W114" s="13" t="s">
        <v>1706</v>
      </c>
    </row>
    <row r="115" customFormat="false" ht="15" hidden="false" customHeight="false" outlineLevel="0" collapsed="false">
      <c r="A115" s="11" t="n">
        <v>114</v>
      </c>
      <c r="B115" s="11" t="s">
        <v>1801</v>
      </c>
      <c r="C115" s="11" t="s">
        <v>12</v>
      </c>
      <c r="D115" s="11" t="s">
        <v>492</v>
      </c>
      <c r="E115" s="11" t="s">
        <v>1802</v>
      </c>
      <c r="F115" s="11" t="s">
        <v>51</v>
      </c>
      <c r="G115" s="11" t="s">
        <v>1402</v>
      </c>
      <c r="H115" s="11"/>
      <c r="I115" s="11" t="str">
        <f aca="false">IF(OR(G115="Gros",AND(H115&lt;&gt;"",S115="Oui")),"A",IF(OR(G115="Moyen",H115&lt;&gt;""),"B","C"))</f>
        <v>C</v>
      </c>
      <c r="J115" s="11" t="s">
        <v>1803</v>
      </c>
      <c r="K115" s="11"/>
      <c r="L115" s="11"/>
      <c r="M115" s="11"/>
      <c r="N115" s="11"/>
      <c r="O115" s="11" t="s">
        <v>1804</v>
      </c>
      <c r="P115" s="11"/>
      <c r="Q115" s="11"/>
      <c r="R115" s="12" t="s">
        <v>54</v>
      </c>
      <c r="S115" s="11"/>
      <c r="T115" s="11" t="s">
        <v>73</v>
      </c>
      <c r="U115" s="11" t="n">
        <f aca="false">COUNTA(K115:P115)</f>
        <v>1</v>
      </c>
      <c r="V115" s="11"/>
      <c r="W115" s="13" t="s">
        <v>1706</v>
      </c>
    </row>
    <row r="116" customFormat="false" ht="15" hidden="false" customHeight="false" outlineLevel="0" collapsed="false">
      <c r="A116" s="11" t="n">
        <v>115</v>
      </c>
      <c r="B116" s="11" t="s">
        <v>1805</v>
      </c>
      <c r="C116" s="11" t="s">
        <v>12</v>
      </c>
      <c r="D116" s="11" t="s">
        <v>1806</v>
      </c>
      <c r="E116" s="11"/>
      <c r="F116" s="11" t="s">
        <v>51</v>
      </c>
      <c r="G116" s="11" t="s">
        <v>1402</v>
      </c>
      <c r="H116" s="11"/>
      <c r="I116" s="11" t="str">
        <f aca="false">IF(OR(G116="Gros",AND(H116&lt;&gt;"",S116="Oui")),"A",IF(OR(G116="Moyen",H116&lt;&gt;""),"B","C"))</f>
        <v>C</v>
      </c>
      <c r="J116" s="11" t="s">
        <v>1807</v>
      </c>
      <c r="K116" s="11"/>
      <c r="L116" s="11"/>
      <c r="M116" s="11"/>
      <c r="N116" s="11"/>
      <c r="O116" s="11"/>
      <c r="P116" s="11"/>
      <c r="Q116" s="11"/>
      <c r="R116" s="12" t="s">
        <v>54</v>
      </c>
      <c r="S116" s="11"/>
      <c r="T116" s="11" t="s">
        <v>73</v>
      </c>
      <c r="U116" s="11" t="n">
        <f aca="false">COUNTA(K116:P116)</f>
        <v>0</v>
      </c>
      <c r="V116" s="11"/>
      <c r="W116" s="13" t="s">
        <v>1706</v>
      </c>
    </row>
    <row r="117" customFormat="false" ht="15" hidden="false" customHeight="false" outlineLevel="0" collapsed="false">
      <c r="A117" s="11" t="n">
        <v>116</v>
      </c>
      <c r="B117" s="11" t="s">
        <v>1808</v>
      </c>
      <c r="C117" s="11" t="s">
        <v>12</v>
      </c>
      <c r="D117" s="11" t="s">
        <v>1809</v>
      </c>
      <c r="E117" s="11" t="s">
        <v>1810</v>
      </c>
      <c r="F117" s="11" t="s">
        <v>51</v>
      </c>
      <c r="G117" s="11" t="s">
        <v>1402</v>
      </c>
      <c r="H117" s="11"/>
      <c r="I117" s="11" t="str">
        <f aca="false">IF(OR(G117="Gros",AND(H117&lt;&gt;"",S117="Oui")),"A",IF(OR(G117="Moyen",H117&lt;&gt;""),"B","C"))</f>
        <v>C</v>
      </c>
      <c r="J117" s="11" t="s">
        <v>1791</v>
      </c>
      <c r="K117" s="11"/>
      <c r="L117" s="11"/>
      <c r="M117" s="11"/>
      <c r="N117" s="11"/>
      <c r="O117" s="11" t="s">
        <v>1811</v>
      </c>
      <c r="P117" s="11"/>
      <c r="Q117" s="11"/>
      <c r="R117" s="12" t="s">
        <v>54</v>
      </c>
      <c r="S117" s="11"/>
      <c r="T117" s="11" t="s">
        <v>73</v>
      </c>
      <c r="U117" s="11" t="n">
        <f aca="false">COUNTA(K117:P117)</f>
        <v>1</v>
      </c>
      <c r="V117" s="11" t="s">
        <v>1812</v>
      </c>
      <c r="W117" s="13" t="s">
        <v>1706</v>
      </c>
    </row>
    <row r="118" customFormat="false" ht="15" hidden="false" customHeight="false" outlineLevel="0" collapsed="false">
      <c r="A118" s="11" t="n">
        <v>117</v>
      </c>
      <c r="B118" s="11" t="s">
        <v>1813</v>
      </c>
      <c r="C118" s="11" t="s">
        <v>12</v>
      </c>
      <c r="D118" s="11" t="s">
        <v>552</v>
      </c>
      <c r="E118" s="11" t="s">
        <v>1814</v>
      </c>
      <c r="F118" s="11" t="s">
        <v>51</v>
      </c>
      <c r="G118" s="11" t="s">
        <v>1402</v>
      </c>
      <c r="H118" s="11"/>
      <c r="I118" s="11" t="str">
        <f aca="false">IF(OR(G118="Gros",AND(H118&lt;&gt;"",S118="Oui")),"A",IF(OR(G118="Moyen",H118&lt;&gt;""),"B","C"))</f>
        <v>C</v>
      </c>
      <c r="J118" s="11" t="s">
        <v>1815</v>
      </c>
      <c r="K118" s="11"/>
      <c r="L118" s="11"/>
      <c r="M118" s="11"/>
      <c r="N118" s="11"/>
      <c r="O118" s="11" t="s">
        <v>1816</v>
      </c>
      <c r="P118" s="11"/>
      <c r="Q118" s="11"/>
      <c r="R118" s="12" t="s">
        <v>54</v>
      </c>
      <c r="S118" s="11"/>
      <c r="T118" s="11" t="s">
        <v>73</v>
      </c>
      <c r="U118" s="11" t="n">
        <f aca="false">COUNTA(K118:P118)</f>
        <v>1</v>
      </c>
      <c r="V118" s="11" t="s">
        <v>1817</v>
      </c>
      <c r="W118" s="13" t="s">
        <v>1768</v>
      </c>
    </row>
    <row r="119" customFormat="false" ht="15" hidden="false" customHeight="false" outlineLevel="0" collapsed="false">
      <c r="A119" s="11" t="n">
        <v>118</v>
      </c>
      <c r="B119" s="11" t="s">
        <v>1818</v>
      </c>
      <c r="C119" s="11" t="s">
        <v>12</v>
      </c>
      <c r="D119" s="11" t="s">
        <v>1819</v>
      </c>
      <c r="E119" s="11" t="s">
        <v>1820</v>
      </c>
      <c r="F119" s="11" t="s">
        <v>51</v>
      </c>
      <c r="G119" s="11" t="s">
        <v>1402</v>
      </c>
      <c r="H119" s="11"/>
      <c r="I119" s="11" t="str">
        <f aca="false">IF(OR(G119="Gros",AND(H119&lt;&gt;"",S119="Oui")),"A",IF(OR(G119="Moyen",H119&lt;&gt;""),"B","C"))</f>
        <v>C</v>
      </c>
      <c r="J119" s="11" t="s">
        <v>1821</v>
      </c>
      <c r="K119" s="11"/>
      <c r="L119" s="11"/>
      <c r="M119" s="11"/>
      <c r="N119" s="11"/>
      <c r="O119" s="11" t="s">
        <v>1822</v>
      </c>
      <c r="P119" s="11"/>
      <c r="Q119" s="11"/>
      <c r="R119" s="12" t="s">
        <v>54</v>
      </c>
      <c r="S119" s="11"/>
      <c r="T119" s="11" t="s">
        <v>73</v>
      </c>
      <c r="U119" s="11" t="n">
        <f aca="false">COUNTA(K119:P119)</f>
        <v>1</v>
      </c>
      <c r="V119" s="11"/>
      <c r="W119" s="13" t="s">
        <v>1706</v>
      </c>
    </row>
    <row r="120" customFormat="false" ht="15" hidden="false" customHeight="false" outlineLevel="0" collapsed="false">
      <c r="A120" s="11" t="n">
        <v>119</v>
      </c>
      <c r="B120" s="11" t="s">
        <v>1823</v>
      </c>
      <c r="C120" s="11" t="s">
        <v>12</v>
      </c>
      <c r="D120" s="11" t="s">
        <v>1824</v>
      </c>
      <c r="E120" s="11"/>
      <c r="F120" s="11" t="s">
        <v>156</v>
      </c>
      <c r="G120" s="11" t="s">
        <v>1402</v>
      </c>
      <c r="H120" s="11"/>
      <c r="I120" s="11" t="str">
        <f aca="false">IF(OR(G120="Gros",AND(H120&lt;&gt;"",S120="Oui")),"A",IF(OR(G120="Moyen",H120&lt;&gt;""),"B","C"))</f>
        <v>C</v>
      </c>
      <c r="J120" s="11" t="s">
        <v>1825</v>
      </c>
      <c r="K120" s="11"/>
      <c r="L120" s="11"/>
      <c r="M120" s="11"/>
      <c r="N120" s="11"/>
      <c r="O120" s="11"/>
      <c r="P120" s="11"/>
      <c r="Q120" s="11"/>
      <c r="R120" s="12" t="s">
        <v>54</v>
      </c>
      <c r="S120" s="11"/>
      <c r="T120" s="11" t="s">
        <v>73</v>
      </c>
      <c r="U120" s="11" t="n">
        <f aca="false">COUNTA(K120:P120)</f>
        <v>0</v>
      </c>
      <c r="V120" s="11" t="s">
        <v>1826</v>
      </c>
      <c r="W120" s="13" t="s">
        <v>1706</v>
      </c>
    </row>
    <row r="121" customFormat="false" ht="15" hidden="false" customHeight="false" outlineLevel="0" collapsed="false">
      <c r="A121" s="11" t="n">
        <v>120</v>
      </c>
      <c r="B121" s="11" t="s">
        <v>1827</v>
      </c>
      <c r="C121" s="11" t="s">
        <v>12</v>
      </c>
      <c r="D121" s="11" t="s">
        <v>1828</v>
      </c>
      <c r="E121" s="11"/>
      <c r="F121" s="11" t="s">
        <v>51</v>
      </c>
      <c r="G121" s="11" t="s">
        <v>1402</v>
      </c>
      <c r="H121" s="11"/>
      <c r="I121" s="11" t="str">
        <f aca="false">IF(OR(G121="Gros",AND(H121&lt;&gt;"",S121="Oui")),"A",IF(OR(G121="Moyen",H121&lt;&gt;""),"B","C"))</f>
        <v>C</v>
      </c>
      <c r="J121" s="11" t="s">
        <v>1829</v>
      </c>
      <c r="K121" s="11"/>
      <c r="L121" s="11"/>
      <c r="M121" s="11"/>
      <c r="N121" s="11"/>
      <c r="O121" s="11"/>
      <c r="P121" s="11"/>
      <c r="Q121" s="11"/>
      <c r="R121" s="12" t="s">
        <v>54</v>
      </c>
      <c r="S121" s="11"/>
      <c r="T121" s="11" t="s">
        <v>73</v>
      </c>
      <c r="U121" s="11" t="n">
        <f aca="false">COUNTA(K121:P121)</f>
        <v>0</v>
      </c>
      <c r="V121" s="11"/>
      <c r="W121" s="13" t="s">
        <v>1706</v>
      </c>
    </row>
    <row r="122" customFormat="false" ht="15" hidden="false" customHeight="false" outlineLevel="0" collapsed="false">
      <c r="A122" s="11" t="n">
        <v>121</v>
      </c>
      <c r="B122" s="11" t="s">
        <v>1830</v>
      </c>
      <c r="C122" s="11" t="s">
        <v>12</v>
      </c>
      <c r="D122" s="11" t="s">
        <v>1831</v>
      </c>
      <c r="E122" s="11" t="s">
        <v>1832</v>
      </c>
      <c r="F122" s="11" t="s">
        <v>51</v>
      </c>
      <c r="G122" s="11" t="s">
        <v>1402</v>
      </c>
      <c r="H122" s="11"/>
      <c r="I122" s="11" t="str">
        <f aca="false">IF(OR(G122="Gros",AND(H122&lt;&gt;"",S122="Oui")),"A",IF(OR(G122="Moyen",H122&lt;&gt;""),"B","C"))</f>
        <v>C</v>
      </c>
      <c r="J122" s="11" t="s">
        <v>1791</v>
      </c>
      <c r="K122" s="11"/>
      <c r="L122" s="11"/>
      <c r="M122" s="11"/>
      <c r="N122" s="11"/>
      <c r="O122" s="11" t="s">
        <v>1833</v>
      </c>
      <c r="P122" s="11"/>
      <c r="Q122" s="11"/>
      <c r="R122" s="12" t="s">
        <v>54</v>
      </c>
      <c r="S122" s="11"/>
      <c r="T122" s="11" t="s">
        <v>73</v>
      </c>
      <c r="U122" s="11" t="n">
        <f aca="false">COUNTA(K122:P122)</f>
        <v>1</v>
      </c>
      <c r="V122" s="11"/>
      <c r="W122" s="13" t="s">
        <v>1706</v>
      </c>
    </row>
    <row r="123" customFormat="false" ht="15" hidden="false" customHeight="false" outlineLevel="0" collapsed="false">
      <c r="A123" s="11" t="n">
        <v>122</v>
      </c>
      <c r="B123" s="11" t="s">
        <v>1834</v>
      </c>
      <c r="C123" s="11" t="s">
        <v>12</v>
      </c>
      <c r="D123" s="11" t="s">
        <v>1747</v>
      </c>
      <c r="E123" s="11" t="s">
        <v>1835</v>
      </c>
      <c r="F123" s="11" t="s">
        <v>51</v>
      </c>
      <c r="G123" s="11" t="s">
        <v>1402</v>
      </c>
      <c r="H123" s="11"/>
      <c r="I123" s="11" t="str">
        <f aca="false">IF(OR(G123="Gros",AND(H123&lt;&gt;"",S123="Oui")),"A",IF(OR(G123="Moyen",H123&lt;&gt;""),"B","C"))</f>
        <v>C</v>
      </c>
      <c r="J123" s="11" t="s">
        <v>1836</v>
      </c>
      <c r="K123" s="11"/>
      <c r="L123" s="11"/>
      <c r="M123" s="11"/>
      <c r="N123" s="11"/>
      <c r="O123" s="11"/>
      <c r="P123" s="11"/>
      <c r="Q123" s="11"/>
      <c r="R123" s="12" t="s">
        <v>54</v>
      </c>
      <c r="S123" s="11"/>
      <c r="T123" s="11" t="s">
        <v>73</v>
      </c>
      <c r="U123" s="11" t="n">
        <f aca="false">COUNTA(K123:P123)</f>
        <v>0</v>
      </c>
      <c r="V123" s="11"/>
      <c r="W123" s="13" t="s">
        <v>1768</v>
      </c>
    </row>
    <row r="124" customFormat="false" ht="15" hidden="false" customHeight="false" outlineLevel="0" collapsed="false">
      <c r="A124" s="11" t="n">
        <v>123</v>
      </c>
      <c r="B124" s="11" t="s">
        <v>1837</v>
      </c>
      <c r="C124" s="11" t="s">
        <v>12</v>
      </c>
      <c r="D124" s="11" t="s">
        <v>657</v>
      </c>
      <c r="E124" s="11" t="s">
        <v>1838</v>
      </c>
      <c r="F124" s="11" t="s">
        <v>51</v>
      </c>
      <c r="G124" s="11" t="s">
        <v>1402</v>
      </c>
      <c r="H124" s="11"/>
      <c r="I124" s="11" t="str">
        <f aca="false">IF(OR(G124="Gros",AND(H124&lt;&gt;"",S124="Oui")),"A",IF(OR(G124="Moyen",H124&lt;&gt;""),"B","C"))</f>
        <v>C</v>
      </c>
      <c r="J124" s="11" t="s">
        <v>1839</v>
      </c>
      <c r="K124" s="11"/>
      <c r="L124" s="11"/>
      <c r="M124" s="11"/>
      <c r="N124" s="11"/>
      <c r="O124" s="11" t="s">
        <v>1840</v>
      </c>
      <c r="P124" s="11"/>
      <c r="Q124" s="11"/>
      <c r="R124" s="12" t="s">
        <v>54</v>
      </c>
      <c r="S124" s="11"/>
      <c r="T124" s="11" t="s">
        <v>73</v>
      </c>
      <c r="U124" s="11" t="n">
        <f aca="false">COUNTA(K124:P124)</f>
        <v>1</v>
      </c>
      <c r="V124" s="11" t="s">
        <v>1841</v>
      </c>
      <c r="W124" s="13" t="s">
        <v>1768</v>
      </c>
    </row>
    <row r="125" customFormat="false" ht="15" hidden="false" customHeight="false" outlineLevel="0" collapsed="false">
      <c r="A125" s="11" t="n">
        <v>124</v>
      </c>
      <c r="B125" s="11" t="s">
        <v>1842</v>
      </c>
      <c r="C125" s="11" t="s">
        <v>12</v>
      </c>
      <c r="D125" s="11" t="s">
        <v>657</v>
      </c>
      <c r="E125" s="11" t="s">
        <v>1843</v>
      </c>
      <c r="F125" s="11" t="s">
        <v>51</v>
      </c>
      <c r="G125" s="11" t="s">
        <v>1402</v>
      </c>
      <c r="H125" s="11"/>
      <c r="I125" s="11" t="str">
        <f aca="false">IF(OR(G125="Gros",AND(H125&lt;&gt;"",S125="Oui")),"A",IF(OR(G125="Moyen",H125&lt;&gt;""),"B","C"))</f>
        <v>C</v>
      </c>
      <c r="J125" s="11" t="s">
        <v>1844</v>
      </c>
      <c r="K125" s="11"/>
      <c r="L125" s="11"/>
      <c r="M125" s="11"/>
      <c r="N125" s="11"/>
      <c r="O125" s="11"/>
      <c r="P125" s="11"/>
      <c r="Q125" s="11"/>
      <c r="R125" s="12" t="s">
        <v>54</v>
      </c>
      <c r="S125" s="11"/>
      <c r="T125" s="11" t="s">
        <v>73</v>
      </c>
      <c r="U125" s="11" t="n">
        <f aca="false">COUNTA(K125:P125)</f>
        <v>0</v>
      </c>
      <c r="V125" s="11" t="s">
        <v>1845</v>
      </c>
      <c r="W125" s="13" t="s">
        <v>1706</v>
      </c>
    </row>
    <row r="126" customFormat="false" ht="15" hidden="false" customHeight="false" outlineLevel="0" collapsed="false">
      <c r="A126" s="11" t="n">
        <v>125</v>
      </c>
      <c r="B126" s="11" t="s">
        <v>1846</v>
      </c>
      <c r="C126" s="11" t="s">
        <v>12</v>
      </c>
      <c r="D126" s="11" t="s">
        <v>657</v>
      </c>
      <c r="E126" s="11" t="s">
        <v>1847</v>
      </c>
      <c r="F126" s="11" t="s">
        <v>51</v>
      </c>
      <c r="G126" s="11" t="s">
        <v>1402</v>
      </c>
      <c r="H126" s="11"/>
      <c r="I126" s="11" t="str">
        <f aca="false">IF(OR(G126="Gros",AND(H126&lt;&gt;"",S126="Oui")),"A",IF(OR(G126="Moyen",H126&lt;&gt;""),"B","C"))</f>
        <v>C</v>
      </c>
      <c r="J126" s="11" t="s">
        <v>1848</v>
      </c>
      <c r="K126" s="11"/>
      <c r="L126" s="11"/>
      <c r="M126" s="11"/>
      <c r="N126" s="11"/>
      <c r="O126" s="11"/>
      <c r="P126" s="11" t="s">
        <v>1849</v>
      </c>
      <c r="Q126" s="11"/>
      <c r="R126" s="12" t="s">
        <v>54</v>
      </c>
      <c r="S126" s="11"/>
      <c r="T126" s="11" t="s">
        <v>73</v>
      </c>
      <c r="U126" s="11" t="n">
        <f aca="false">COUNTA(K126:P126)</f>
        <v>1</v>
      </c>
      <c r="V126" s="11" t="s">
        <v>1850</v>
      </c>
      <c r="W126" s="13" t="s">
        <v>1706</v>
      </c>
    </row>
    <row r="127" customFormat="false" ht="15" hidden="false" customHeight="false" outlineLevel="0" collapsed="false">
      <c r="A127" s="11" t="n">
        <v>126</v>
      </c>
      <c r="B127" s="11" t="s">
        <v>1851</v>
      </c>
      <c r="C127" s="11" t="s">
        <v>12</v>
      </c>
      <c r="D127" s="11" t="s">
        <v>657</v>
      </c>
      <c r="E127" s="11"/>
      <c r="F127" s="11" t="s">
        <v>51</v>
      </c>
      <c r="G127" s="11" t="s">
        <v>1402</v>
      </c>
      <c r="H127" s="11"/>
      <c r="I127" s="11" t="str">
        <f aca="false">IF(OR(G127="Gros",AND(H127&lt;&gt;"",S127="Oui")),"A",IF(OR(G127="Moyen",H127&lt;&gt;""),"B","C"))</f>
        <v>C</v>
      </c>
      <c r="J127" s="11" t="s">
        <v>1852</v>
      </c>
      <c r="K127" s="11"/>
      <c r="L127" s="11"/>
      <c r="M127" s="11"/>
      <c r="N127" s="11"/>
      <c r="O127" s="11" t="s">
        <v>1853</v>
      </c>
      <c r="P127" s="11"/>
      <c r="Q127" s="11"/>
      <c r="R127" s="12" t="s">
        <v>54</v>
      </c>
      <c r="S127" s="11"/>
      <c r="T127" s="11" t="s">
        <v>73</v>
      </c>
      <c r="U127" s="11" t="n">
        <f aca="false">COUNTA(K127:P127)</f>
        <v>1</v>
      </c>
      <c r="V127" s="11"/>
      <c r="W127" s="13" t="s">
        <v>1706</v>
      </c>
    </row>
    <row r="128" customFormat="false" ht="15" hidden="false" customHeight="false" outlineLevel="0" collapsed="false">
      <c r="A128" s="11" t="n">
        <v>127</v>
      </c>
      <c r="B128" s="11" t="s">
        <v>1854</v>
      </c>
      <c r="C128" s="11" t="s">
        <v>12</v>
      </c>
      <c r="D128" s="11" t="s">
        <v>1855</v>
      </c>
      <c r="E128" s="11" t="s">
        <v>1856</v>
      </c>
      <c r="F128" s="11" t="s">
        <v>51</v>
      </c>
      <c r="G128" s="11" t="s">
        <v>1402</v>
      </c>
      <c r="H128" s="11"/>
      <c r="I128" s="11" t="str">
        <f aca="false">IF(OR(G128="Gros",AND(H128&lt;&gt;"",S128="Oui")),"A",IF(OR(G128="Moyen",H128&lt;&gt;""),"B","C"))</f>
        <v>C</v>
      </c>
      <c r="J128" s="11" t="s">
        <v>1857</v>
      </c>
      <c r="K128" s="11"/>
      <c r="L128" s="11"/>
      <c r="M128" s="11"/>
      <c r="N128" s="11"/>
      <c r="O128" s="11"/>
      <c r="P128" s="11"/>
      <c r="Q128" s="11"/>
      <c r="R128" s="12" t="s">
        <v>54</v>
      </c>
      <c r="S128" s="11"/>
      <c r="T128" s="11" t="s">
        <v>73</v>
      </c>
      <c r="U128" s="11" t="n">
        <f aca="false">COUNTA(K128:P128)</f>
        <v>0</v>
      </c>
      <c r="V128" s="11" t="s">
        <v>1858</v>
      </c>
      <c r="W128" s="13" t="s">
        <v>1706</v>
      </c>
    </row>
    <row r="129" customFormat="false" ht="15" hidden="false" customHeight="false" outlineLevel="0" collapsed="false">
      <c r="A129" s="11" t="n">
        <v>128</v>
      </c>
      <c r="B129" s="11" t="s">
        <v>1859</v>
      </c>
      <c r="C129" s="11" t="s">
        <v>12</v>
      </c>
      <c r="D129" s="11" t="s">
        <v>717</v>
      </c>
      <c r="E129" s="11" t="s">
        <v>1860</v>
      </c>
      <c r="F129" s="11" t="s">
        <v>51</v>
      </c>
      <c r="G129" s="11" t="s">
        <v>1402</v>
      </c>
      <c r="H129" s="11"/>
      <c r="I129" s="11" t="str">
        <f aca="false">IF(OR(G129="Gros",AND(H129&lt;&gt;"",S129="Oui")),"A",IF(OR(G129="Moyen",H129&lt;&gt;""),"B","C"))</f>
        <v>C</v>
      </c>
      <c r="J129" s="11" t="s">
        <v>1861</v>
      </c>
      <c r="K129" s="11"/>
      <c r="L129" s="11"/>
      <c r="M129" s="11"/>
      <c r="N129" s="11"/>
      <c r="O129" s="11"/>
      <c r="P129" s="11"/>
      <c r="Q129" s="11"/>
      <c r="R129" s="12" t="s">
        <v>54</v>
      </c>
      <c r="S129" s="11"/>
      <c r="T129" s="11" t="s">
        <v>73</v>
      </c>
      <c r="U129" s="11" t="n">
        <f aca="false">COUNTA(K129:P129)</f>
        <v>0</v>
      </c>
      <c r="V129" s="11" t="s">
        <v>1862</v>
      </c>
      <c r="W129" s="13" t="s">
        <v>1630</v>
      </c>
    </row>
    <row r="130" customFormat="false" ht="15" hidden="false" customHeight="false" outlineLevel="0" collapsed="false">
      <c r="A130" s="11" t="n">
        <v>129</v>
      </c>
      <c r="B130" s="11" t="s">
        <v>1863</v>
      </c>
      <c r="C130" s="11" t="s">
        <v>12</v>
      </c>
      <c r="D130" s="11" t="s">
        <v>717</v>
      </c>
      <c r="E130" s="11" t="s">
        <v>1864</v>
      </c>
      <c r="F130" s="11" t="s">
        <v>51</v>
      </c>
      <c r="G130" s="11" t="s">
        <v>1402</v>
      </c>
      <c r="H130" s="11"/>
      <c r="I130" s="11" t="str">
        <f aca="false">IF(OR(G130="Gros",AND(H130&lt;&gt;"",S130="Oui")),"A",IF(OR(G130="Moyen",H130&lt;&gt;""),"B","C"))</f>
        <v>C</v>
      </c>
      <c r="J130" s="11" t="s">
        <v>1865</v>
      </c>
      <c r="K130" s="11"/>
      <c r="L130" s="11"/>
      <c r="M130" s="11"/>
      <c r="N130" s="11"/>
      <c r="O130" s="11"/>
      <c r="P130" s="11"/>
      <c r="Q130" s="11"/>
      <c r="R130" s="12" t="s">
        <v>54</v>
      </c>
      <c r="S130" s="11"/>
      <c r="T130" s="11" t="s">
        <v>73</v>
      </c>
      <c r="U130" s="11" t="n">
        <f aca="false">COUNTA(K130:P130)</f>
        <v>0</v>
      </c>
      <c r="V130" s="11" t="s">
        <v>1866</v>
      </c>
      <c r="W130" s="13" t="s">
        <v>1768</v>
      </c>
    </row>
    <row r="131" customFormat="false" ht="15" hidden="false" customHeight="false" outlineLevel="0" collapsed="false">
      <c r="A131" s="11" t="n">
        <v>130</v>
      </c>
      <c r="B131" s="11" t="s">
        <v>1867</v>
      </c>
      <c r="C131" s="11" t="s">
        <v>12</v>
      </c>
      <c r="D131" s="11" t="s">
        <v>717</v>
      </c>
      <c r="E131" s="11" t="s">
        <v>1868</v>
      </c>
      <c r="F131" s="11" t="s">
        <v>51</v>
      </c>
      <c r="G131" s="11" t="s">
        <v>1402</v>
      </c>
      <c r="H131" s="11"/>
      <c r="I131" s="11" t="str">
        <f aca="false">IF(OR(G131="Gros",AND(H131&lt;&gt;"",S131="Oui")),"A",IF(OR(G131="Moyen",H131&lt;&gt;""),"B","C"))</f>
        <v>C</v>
      </c>
      <c r="J131" s="11" t="s">
        <v>1869</v>
      </c>
      <c r="K131" s="11"/>
      <c r="L131" s="11"/>
      <c r="M131" s="11"/>
      <c r="N131" s="11"/>
      <c r="O131" s="11" t="s">
        <v>1870</v>
      </c>
      <c r="P131" s="11"/>
      <c r="Q131" s="11"/>
      <c r="R131" s="12" t="s">
        <v>54</v>
      </c>
      <c r="S131" s="11"/>
      <c r="T131" s="11" t="s">
        <v>73</v>
      </c>
      <c r="U131" s="11" t="n">
        <f aca="false">COUNTA(K131:P131)</f>
        <v>1</v>
      </c>
      <c r="V131" s="11"/>
      <c r="W131" s="13" t="s">
        <v>1658</v>
      </c>
    </row>
    <row r="132" customFormat="false" ht="15" hidden="false" customHeight="false" outlineLevel="0" collapsed="false">
      <c r="A132" s="11" t="n">
        <v>131</v>
      </c>
      <c r="B132" s="11" t="s">
        <v>1871</v>
      </c>
      <c r="C132" s="11" t="s">
        <v>12</v>
      </c>
      <c r="D132" s="11" t="s">
        <v>1872</v>
      </c>
      <c r="E132" s="11"/>
      <c r="F132" s="11" t="s">
        <v>51</v>
      </c>
      <c r="G132" s="11" t="s">
        <v>1402</v>
      </c>
      <c r="H132" s="11"/>
      <c r="I132" s="11" t="str">
        <f aca="false">IF(OR(G132="Gros",AND(H132&lt;&gt;"",S132="Oui")),"A",IF(OR(G132="Moyen",H132&lt;&gt;""),"B","C"))</f>
        <v>C</v>
      </c>
      <c r="J132" s="11" t="s">
        <v>1795</v>
      </c>
      <c r="K132" s="11"/>
      <c r="L132" s="11"/>
      <c r="M132" s="11"/>
      <c r="N132" s="11"/>
      <c r="O132" s="11"/>
      <c r="P132" s="11"/>
      <c r="Q132" s="11"/>
      <c r="R132" s="12" t="s">
        <v>54</v>
      </c>
      <c r="S132" s="11"/>
      <c r="T132" s="11" t="s">
        <v>73</v>
      </c>
      <c r="U132" s="11" t="n">
        <f aca="false">COUNTA(K132:P132)</f>
        <v>0</v>
      </c>
      <c r="V132" s="11"/>
      <c r="W132" s="13" t="s">
        <v>1706</v>
      </c>
    </row>
    <row r="133" customFormat="false" ht="15" hidden="false" customHeight="false" outlineLevel="0" collapsed="false">
      <c r="A133" s="11" t="n">
        <v>132</v>
      </c>
      <c r="B133" s="11" t="s">
        <v>1873</v>
      </c>
      <c r="C133" s="11" t="s">
        <v>12</v>
      </c>
      <c r="D133" s="11" t="s">
        <v>723</v>
      </c>
      <c r="E133" s="11" t="s">
        <v>1874</v>
      </c>
      <c r="F133" s="11" t="s">
        <v>51</v>
      </c>
      <c r="G133" s="11" t="s">
        <v>1402</v>
      </c>
      <c r="H133" s="11"/>
      <c r="I133" s="11" t="str">
        <f aca="false">IF(OR(G133="Gros",AND(H133&lt;&gt;"",S133="Oui")),"A",IF(OR(G133="Moyen",H133&lt;&gt;""),"B","C"))</f>
        <v>C</v>
      </c>
      <c r="J133" s="11" t="s">
        <v>1875</v>
      </c>
      <c r="K133" s="11"/>
      <c r="L133" s="11"/>
      <c r="M133" s="11"/>
      <c r="N133" s="11"/>
      <c r="O133" s="11"/>
      <c r="P133" s="11"/>
      <c r="Q133" s="11"/>
      <c r="R133" s="12" t="s">
        <v>54</v>
      </c>
      <c r="S133" s="11"/>
      <c r="T133" s="11" t="s">
        <v>73</v>
      </c>
      <c r="U133" s="11" t="n">
        <f aca="false">COUNTA(K133:P133)</f>
        <v>0</v>
      </c>
      <c r="V133" s="11" t="s">
        <v>1876</v>
      </c>
      <c r="W133" s="13" t="s">
        <v>1720</v>
      </c>
    </row>
    <row r="134" customFormat="false" ht="15" hidden="false" customHeight="false" outlineLevel="0" collapsed="false">
      <c r="A134" s="11" t="n">
        <v>133</v>
      </c>
      <c r="B134" s="11" t="s">
        <v>1877</v>
      </c>
      <c r="C134" s="11" t="s">
        <v>13</v>
      </c>
      <c r="D134" s="11" t="s">
        <v>728</v>
      </c>
      <c r="E134" s="11" t="s">
        <v>728</v>
      </c>
      <c r="F134" s="11" t="s">
        <v>290</v>
      </c>
      <c r="G134" s="11" t="s">
        <v>1179</v>
      </c>
      <c r="H134" s="11" t="s">
        <v>1878</v>
      </c>
      <c r="I134" s="11" t="str">
        <f aca="false">IF(OR(G134="Gros",AND(H134&lt;&gt;"",S134="Oui")),"A",IF(OR(G134="Moyen",H134&lt;&gt;""),"B","C"))</f>
        <v>A</v>
      </c>
      <c r="J134" s="11" t="s">
        <v>1879</v>
      </c>
      <c r="K134" s="12" t="s">
        <v>1880</v>
      </c>
      <c r="L134" s="11"/>
      <c r="M134" s="11"/>
      <c r="N134" s="11"/>
      <c r="O134" s="11"/>
      <c r="P134" s="11"/>
      <c r="Q134" s="11"/>
      <c r="R134" s="11"/>
      <c r="S134" s="11"/>
      <c r="T134" s="11" t="s">
        <v>73</v>
      </c>
      <c r="U134" s="11" t="n">
        <f aca="false">COUNTA(K134:P134)</f>
        <v>1</v>
      </c>
      <c r="V134" s="11" t="s">
        <v>1881</v>
      </c>
      <c r="W134" s="13" t="s">
        <v>1882</v>
      </c>
    </row>
    <row r="135" customFormat="false" ht="15" hidden="false" customHeight="false" outlineLevel="0" collapsed="false">
      <c r="A135" s="11" t="n">
        <v>134</v>
      </c>
      <c r="B135" s="11" t="s">
        <v>1883</v>
      </c>
      <c r="C135" s="11" t="s">
        <v>13</v>
      </c>
      <c r="D135" s="11" t="s">
        <v>728</v>
      </c>
      <c r="E135" s="11" t="s">
        <v>1884</v>
      </c>
      <c r="F135" s="11" t="s">
        <v>51</v>
      </c>
      <c r="G135" s="11" t="s">
        <v>1179</v>
      </c>
      <c r="H135" s="11"/>
      <c r="I135" s="11" t="str">
        <f aca="false">IF(OR(G135="Gros",AND(H135&lt;&gt;"",S135="Oui")),"A",IF(OR(G135="Moyen",H135&lt;&gt;""),"B","C"))</f>
        <v>A</v>
      </c>
      <c r="J135" s="11" t="s">
        <v>1885</v>
      </c>
      <c r="K135" s="11"/>
      <c r="L135" s="11"/>
      <c r="M135" s="11"/>
      <c r="N135" s="11"/>
      <c r="O135" s="11"/>
      <c r="P135" s="11"/>
      <c r="Q135" s="11"/>
      <c r="R135" s="12" t="s">
        <v>54</v>
      </c>
      <c r="S135" s="11"/>
      <c r="T135" s="11" t="s">
        <v>73</v>
      </c>
      <c r="U135" s="11" t="n">
        <f aca="false">COUNTA(K135:P135)</f>
        <v>0</v>
      </c>
      <c r="V135" s="11" t="s">
        <v>1886</v>
      </c>
      <c r="W135" s="13" t="s">
        <v>1887</v>
      </c>
    </row>
    <row r="136" customFormat="false" ht="15" hidden="false" customHeight="false" outlineLevel="0" collapsed="false">
      <c r="A136" s="11" t="n">
        <v>135</v>
      </c>
      <c r="B136" s="11" t="s">
        <v>1888</v>
      </c>
      <c r="C136" s="11" t="s">
        <v>13</v>
      </c>
      <c r="D136" s="11" t="s">
        <v>728</v>
      </c>
      <c r="E136" s="11" t="s">
        <v>1889</v>
      </c>
      <c r="F136" s="11" t="s">
        <v>51</v>
      </c>
      <c r="G136" s="11" t="s">
        <v>1179</v>
      </c>
      <c r="H136" s="11" t="s">
        <v>1890</v>
      </c>
      <c r="I136" s="11" t="str">
        <f aca="false">IF(OR(G136="Gros",AND(H136&lt;&gt;"",S136="Oui")),"A",IF(OR(G136="Moyen",H136&lt;&gt;""),"B","C"))</f>
        <v>A</v>
      </c>
      <c r="J136" s="11" t="s">
        <v>1891</v>
      </c>
      <c r="K136" s="11"/>
      <c r="L136" s="11"/>
      <c r="M136" s="11"/>
      <c r="N136" s="11"/>
      <c r="O136" s="11" t="s">
        <v>1892</v>
      </c>
      <c r="P136" s="11"/>
      <c r="Q136" s="11"/>
      <c r="R136" s="12" t="s">
        <v>54</v>
      </c>
      <c r="S136" s="11"/>
      <c r="T136" s="11" t="s">
        <v>73</v>
      </c>
      <c r="U136" s="11" t="n">
        <f aca="false">COUNTA(K136:P136)</f>
        <v>1</v>
      </c>
      <c r="V136" s="11" t="s">
        <v>1893</v>
      </c>
      <c r="W136" s="13" t="s">
        <v>1894</v>
      </c>
    </row>
    <row r="137" customFormat="false" ht="15" hidden="false" customHeight="false" outlineLevel="0" collapsed="false">
      <c r="A137" s="11" t="n">
        <v>136</v>
      </c>
      <c r="B137" s="11" t="s">
        <v>1895</v>
      </c>
      <c r="C137" s="11" t="s">
        <v>13</v>
      </c>
      <c r="D137" s="11" t="s">
        <v>728</v>
      </c>
      <c r="E137" s="11" t="s">
        <v>1896</v>
      </c>
      <c r="F137" s="11" t="s">
        <v>321</v>
      </c>
      <c r="G137" s="11" t="s">
        <v>1179</v>
      </c>
      <c r="H137" s="11" t="s">
        <v>1897</v>
      </c>
      <c r="I137" s="11" t="str">
        <f aca="false">IF(OR(G137="Gros",AND(H137&lt;&gt;"",S137="Oui")),"A",IF(OR(G137="Moyen",H137&lt;&gt;""),"B","C"))</f>
        <v>A</v>
      </c>
      <c r="J137" s="11" t="s">
        <v>1898</v>
      </c>
      <c r="K137" s="11"/>
      <c r="L137" s="11"/>
      <c r="M137" s="11"/>
      <c r="N137" s="11"/>
      <c r="O137" s="11"/>
      <c r="P137" s="11"/>
      <c r="Q137" s="11" t="s">
        <v>1899</v>
      </c>
      <c r="R137" s="12" t="s">
        <v>54</v>
      </c>
      <c r="S137" s="11"/>
      <c r="T137" s="11" t="s">
        <v>73</v>
      </c>
      <c r="U137" s="11" t="n">
        <f aca="false">COUNTA(K137:P137)</f>
        <v>0</v>
      </c>
      <c r="V137" s="11" t="s">
        <v>1900</v>
      </c>
      <c r="W137" s="13" t="s">
        <v>1901</v>
      </c>
    </row>
    <row r="138" customFormat="false" ht="15" hidden="false" customHeight="false" outlineLevel="0" collapsed="false">
      <c r="A138" s="11" t="n">
        <v>137</v>
      </c>
      <c r="B138" s="11" t="s">
        <v>1902</v>
      </c>
      <c r="C138" s="11" t="s">
        <v>13</v>
      </c>
      <c r="D138" s="11" t="s">
        <v>728</v>
      </c>
      <c r="E138" s="11" t="s">
        <v>1903</v>
      </c>
      <c r="F138" s="11" t="s">
        <v>321</v>
      </c>
      <c r="G138" s="11" t="s">
        <v>1179</v>
      </c>
      <c r="H138" s="11"/>
      <c r="I138" s="11" t="str">
        <f aca="false">IF(OR(G138="Gros",AND(H138&lt;&gt;"",S138="Oui")),"A",IF(OR(G138="Moyen",H138&lt;&gt;""),"B","C"))</f>
        <v>A</v>
      </c>
      <c r="J138" s="11" t="s">
        <v>1904</v>
      </c>
      <c r="K138" s="11"/>
      <c r="L138" s="11"/>
      <c r="M138" s="11"/>
      <c r="N138" s="11"/>
      <c r="O138" s="11"/>
      <c r="P138" s="11"/>
      <c r="Q138" s="11"/>
      <c r="R138" s="12" t="s">
        <v>54</v>
      </c>
      <c r="S138" s="11"/>
      <c r="T138" s="11" t="s">
        <v>73</v>
      </c>
      <c r="U138" s="11" t="n">
        <f aca="false">COUNTA(K138:P138)</f>
        <v>0</v>
      </c>
      <c r="V138" s="11" t="s">
        <v>1905</v>
      </c>
      <c r="W138" s="13" t="s">
        <v>1906</v>
      </c>
    </row>
    <row r="139" customFormat="false" ht="15" hidden="false" customHeight="false" outlineLevel="0" collapsed="false">
      <c r="A139" s="11" t="n">
        <v>138</v>
      </c>
      <c r="B139" s="11" t="s">
        <v>1907</v>
      </c>
      <c r="C139" s="11" t="s">
        <v>13</v>
      </c>
      <c r="D139" s="11" t="s">
        <v>728</v>
      </c>
      <c r="E139" s="11" t="s">
        <v>1908</v>
      </c>
      <c r="F139" s="11" t="s">
        <v>321</v>
      </c>
      <c r="G139" s="11" t="s">
        <v>1179</v>
      </c>
      <c r="H139" s="11"/>
      <c r="I139" s="11" t="str">
        <f aca="false">IF(OR(G139="Gros",AND(H139&lt;&gt;"",S139="Oui")),"A",IF(OR(G139="Moyen",H139&lt;&gt;""),"B","C"))</f>
        <v>A</v>
      </c>
      <c r="J139" s="11" t="s">
        <v>1909</v>
      </c>
      <c r="K139" s="11"/>
      <c r="L139" s="11"/>
      <c r="M139" s="11"/>
      <c r="N139" s="11"/>
      <c r="O139" s="11"/>
      <c r="P139" s="11"/>
      <c r="Q139" s="11"/>
      <c r="R139" s="12" t="s">
        <v>54</v>
      </c>
      <c r="S139" s="11"/>
      <c r="T139" s="11" t="s">
        <v>73</v>
      </c>
      <c r="U139" s="11" t="n">
        <f aca="false">COUNTA(K139:P139)</f>
        <v>0</v>
      </c>
      <c r="V139" s="11" t="s">
        <v>1910</v>
      </c>
      <c r="W139" s="13" t="s">
        <v>1906</v>
      </c>
    </row>
    <row r="140" customFormat="false" ht="15" hidden="false" customHeight="false" outlineLevel="0" collapsed="false">
      <c r="A140" s="11" t="n">
        <v>139</v>
      </c>
      <c r="B140" s="11" t="s">
        <v>1911</v>
      </c>
      <c r="C140" s="11" t="s">
        <v>13</v>
      </c>
      <c r="D140" s="11" t="s">
        <v>728</v>
      </c>
      <c r="E140" s="11" t="s">
        <v>728</v>
      </c>
      <c r="F140" s="11" t="s">
        <v>122</v>
      </c>
      <c r="G140" s="11" t="s">
        <v>1179</v>
      </c>
      <c r="H140" s="11" t="s">
        <v>1912</v>
      </c>
      <c r="I140" s="11" t="str">
        <f aca="false">IF(OR(G140="Gros",AND(H140&lt;&gt;"",S140="Oui")),"A",IF(OR(G140="Moyen",H140&lt;&gt;""),"B","C"))</f>
        <v>A</v>
      </c>
      <c r="J140" s="11" t="s">
        <v>1913</v>
      </c>
      <c r="K140" s="11"/>
      <c r="L140" s="11"/>
      <c r="M140" s="11"/>
      <c r="N140" s="11"/>
      <c r="O140" s="11"/>
      <c r="P140" s="11"/>
      <c r="Q140" s="11"/>
      <c r="R140" s="12" t="s">
        <v>54</v>
      </c>
      <c r="S140" s="11" t="s">
        <v>1195</v>
      </c>
      <c r="T140" s="11" t="s">
        <v>55</v>
      </c>
      <c r="U140" s="11" t="n">
        <f aca="false">COUNTA(K140:P140)</f>
        <v>0</v>
      </c>
      <c r="V140" s="11" t="s">
        <v>1914</v>
      </c>
      <c r="W140" s="13" t="s">
        <v>1915</v>
      </c>
    </row>
    <row r="141" customFormat="false" ht="15" hidden="false" customHeight="false" outlineLevel="0" collapsed="false">
      <c r="A141" s="11" t="n">
        <v>140</v>
      </c>
      <c r="B141" s="11" t="s">
        <v>1916</v>
      </c>
      <c r="C141" s="11" t="s">
        <v>13</v>
      </c>
      <c r="D141" s="11" t="s">
        <v>728</v>
      </c>
      <c r="E141" s="11" t="s">
        <v>1917</v>
      </c>
      <c r="F141" s="11" t="s">
        <v>51</v>
      </c>
      <c r="G141" s="11" t="s">
        <v>1228</v>
      </c>
      <c r="H141" s="11"/>
      <c r="I141" s="11" t="str">
        <f aca="false">IF(OR(G141="Gros",AND(H141&lt;&gt;"",S141="Oui")),"A",IF(OR(G141="Moyen",H141&lt;&gt;""),"B","C"))</f>
        <v>B</v>
      </c>
      <c r="J141" s="11" t="s">
        <v>1918</v>
      </c>
      <c r="K141" s="11"/>
      <c r="L141" s="11"/>
      <c r="M141" s="11"/>
      <c r="N141" s="11"/>
      <c r="O141" s="11"/>
      <c r="P141" s="11"/>
      <c r="Q141" s="11"/>
      <c r="R141" s="12" t="s">
        <v>54</v>
      </c>
      <c r="S141" s="11"/>
      <c r="T141" s="11" t="s">
        <v>73</v>
      </c>
      <c r="U141" s="11" t="n">
        <f aca="false">COUNTA(K141:P141)</f>
        <v>0</v>
      </c>
      <c r="V141" s="11" t="s">
        <v>1919</v>
      </c>
      <c r="W141" s="13" t="s">
        <v>1920</v>
      </c>
    </row>
    <row r="142" customFormat="false" ht="15" hidden="false" customHeight="false" outlineLevel="0" collapsed="false">
      <c r="A142" s="11" t="n">
        <v>141</v>
      </c>
      <c r="B142" s="11" t="s">
        <v>1921</v>
      </c>
      <c r="C142" s="11" t="s">
        <v>13</v>
      </c>
      <c r="D142" s="11" t="s">
        <v>728</v>
      </c>
      <c r="E142" s="11" t="s">
        <v>1922</v>
      </c>
      <c r="F142" s="11" t="s">
        <v>122</v>
      </c>
      <c r="G142" s="11" t="s">
        <v>1228</v>
      </c>
      <c r="H142" s="11" t="s">
        <v>1923</v>
      </c>
      <c r="I142" s="11" t="str">
        <f aca="false">IF(OR(G142="Gros",AND(H142&lt;&gt;"",S142="Oui")),"A",IF(OR(G142="Moyen",H142&lt;&gt;""),"B","C"))</f>
        <v>B</v>
      </c>
      <c r="J142" s="11" t="s">
        <v>1924</v>
      </c>
      <c r="K142" s="11"/>
      <c r="L142" s="12" t="s">
        <v>1925</v>
      </c>
      <c r="M142" s="11"/>
      <c r="N142" s="11"/>
      <c r="O142" s="11"/>
      <c r="P142" s="11"/>
      <c r="Q142" s="11"/>
      <c r="R142" s="12" t="s">
        <v>54</v>
      </c>
      <c r="S142" s="11"/>
      <c r="T142" s="11" t="s">
        <v>73</v>
      </c>
      <c r="U142" s="11" t="n">
        <f aca="false">COUNTA(K142:P142)</f>
        <v>1</v>
      </c>
      <c r="V142" s="11" t="s">
        <v>1926</v>
      </c>
      <c r="W142" s="13" t="s">
        <v>1927</v>
      </c>
    </row>
    <row r="143" customFormat="false" ht="15" hidden="false" customHeight="false" outlineLevel="0" collapsed="false">
      <c r="A143" s="11" t="n">
        <v>142</v>
      </c>
      <c r="B143" s="11" t="s">
        <v>1928</v>
      </c>
      <c r="C143" s="11" t="s">
        <v>13</v>
      </c>
      <c r="D143" s="11" t="s">
        <v>728</v>
      </c>
      <c r="E143" s="11" t="s">
        <v>1929</v>
      </c>
      <c r="F143" s="11" t="s">
        <v>51</v>
      </c>
      <c r="G143" s="11" t="s">
        <v>1228</v>
      </c>
      <c r="H143" s="11" t="s">
        <v>1930</v>
      </c>
      <c r="I143" s="11" t="str">
        <f aca="false">IF(OR(G143="Gros",AND(H143&lt;&gt;"",S143="Oui")),"A",IF(OR(G143="Moyen",H143&lt;&gt;""),"B","C"))</f>
        <v>B</v>
      </c>
      <c r="J143" s="11" t="s">
        <v>1931</v>
      </c>
      <c r="K143" s="11"/>
      <c r="L143" s="11"/>
      <c r="M143" s="12" t="s">
        <v>1932</v>
      </c>
      <c r="N143" s="11"/>
      <c r="O143" s="11"/>
      <c r="P143" s="11"/>
      <c r="Q143" s="11"/>
      <c r="R143" s="12" t="s">
        <v>54</v>
      </c>
      <c r="S143" s="11"/>
      <c r="T143" s="11" t="s">
        <v>73</v>
      </c>
      <c r="U143" s="11" t="n">
        <f aca="false">COUNTA(K143:P143)</f>
        <v>1</v>
      </c>
      <c r="V143" s="11" t="s">
        <v>1933</v>
      </c>
      <c r="W143" s="13" t="s">
        <v>1934</v>
      </c>
    </row>
    <row r="144" customFormat="false" ht="15" hidden="false" customHeight="false" outlineLevel="0" collapsed="false">
      <c r="A144" s="11" t="n">
        <v>143</v>
      </c>
      <c r="B144" s="11" t="s">
        <v>1935</v>
      </c>
      <c r="C144" s="11" t="s">
        <v>13</v>
      </c>
      <c r="D144" s="11" t="s">
        <v>728</v>
      </c>
      <c r="E144" s="11" t="s">
        <v>1936</v>
      </c>
      <c r="F144" s="11" t="s">
        <v>51</v>
      </c>
      <c r="G144" s="11" t="s">
        <v>1228</v>
      </c>
      <c r="H144" s="11" t="s">
        <v>1937</v>
      </c>
      <c r="I144" s="11" t="str">
        <f aca="false">IF(OR(G144="Gros",AND(H144&lt;&gt;"",S144="Oui")),"A",IF(OR(G144="Moyen",H144&lt;&gt;""),"B","C"))</f>
        <v>B</v>
      </c>
      <c r="J144" s="11" t="s">
        <v>1938</v>
      </c>
      <c r="K144" s="11"/>
      <c r="L144" s="11"/>
      <c r="M144" s="11"/>
      <c r="N144" s="11"/>
      <c r="O144" s="11"/>
      <c r="P144" s="11"/>
      <c r="Q144" s="11"/>
      <c r="R144" s="12" t="s">
        <v>54</v>
      </c>
      <c r="S144" s="11"/>
      <c r="T144" s="11" t="s">
        <v>73</v>
      </c>
      <c r="U144" s="11" t="n">
        <f aca="false">COUNTA(K144:P144)</f>
        <v>0</v>
      </c>
      <c r="V144" s="11" t="s">
        <v>1939</v>
      </c>
      <c r="W144" s="13" t="s">
        <v>1940</v>
      </c>
    </row>
    <row r="145" customFormat="false" ht="15" hidden="false" customHeight="false" outlineLevel="0" collapsed="false">
      <c r="A145" s="11" t="n">
        <v>144</v>
      </c>
      <c r="B145" s="11" t="s">
        <v>1941</v>
      </c>
      <c r="C145" s="11" t="s">
        <v>13</v>
      </c>
      <c r="D145" s="11" t="s">
        <v>728</v>
      </c>
      <c r="E145" s="11" t="s">
        <v>1942</v>
      </c>
      <c r="F145" s="11" t="s">
        <v>122</v>
      </c>
      <c r="G145" s="11" t="s">
        <v>1228</v>
      </c>
      <c r="H145" s="11" t="s">
        <v>1943</v>
      </c>
      <c r="I145" s="11" t="str">
        <f aca="false">IF(OR(G145="Gros",AND(H145&lt;&gt;"",S145="Oui")),"A",IF(OR(G145="Moyen",H145&lt;&gt;""),"B","C"))</f>
        <v>B</v>
      </c>
      <c r="J145" s="11" t="s">
        <v>1944</v>
      </c>
      <c r="K145" s="12" t="s">
        <v>1945</v>
      </c>
      <c r="L145" s="11"/>
      <c r="M145" s="11"/>
      <c r="N145" s="11"/>
      <c r="O145" s="11"/>
      <c r="P145" s="11"/>
      <c r="Q145" s="11"/>
      <c r="R145" s="12" t="s">
        <v>54</v>
      </c>
      <c r="S145" s="11"/>
      <c r="T145" s="11" t="s">
        <v>73</v>
      </c>
      <c r="U145" s="11" t="n">
        <f aca="false">COUNTA(K145:P145)</f>
        <v>1</v>
      </c>
      <c r="V145" s="11" t="s">
        <v>1946</v>
      </c>
      <c r="W145" s="13" t="s">
        <v>1947</v>
      </c>
    </row>
    <row r="146" customFormat="false" ht="15" hidden="false" customHeight="false" outlineLevel="0" collapsed="false">
      <c r="A146" s="11" t="n">
        <v>145</v>
      </c>
      <c r="B146" s="11" t="s">
        <v>1948</v>
      </c>
      <c r="C146" s="11" t="s">
        <v>13</v>
      </c>
      <c r="D146" s="11" t="s">
        <v>728</v>
      </c>
      <c r="E146" s="11" t="s">
        <v>1949</v>
      </c>
      <c r="F146" s="11" t="s">
        <v>51</v>
      </c>
      <c r="G146" s="11" t="s">
        <v>1228</v>
      </c>
      <c r="H146" s="11"/>
      <c r="I146" s="11" t="str">
        <f aca="false">IF(OR(G146="Gros",AND(H146&lt;&gt;"",S146="Oui")),"A",IF(OR(G146="Moyen",H146&lt;&gt;""),"B","C"))</f>
        <v>B</v>
      </c>
      <c r="J146" s="11" t="s">
        <v>1950</v>
      </c>
      <c r="K146" s="11"/>
      <c r="L146" s="11"/>
      <c r="M146" s="11"/>
      <c r="N146" s="11"/>
      <c r="O146" s="11" t="s">
        <v>1951</v>
      </c>
      <c r="P146" s="11"/>
      <c r="Q146" s="11"/>
      <c r="R146" s="12" t="s">
        <v>54</v>
      </c>
      <c r="S146" s="11"/>
      <c r="T146" s="11" t="s">
        <v>73</v>
      </c>
      <c r="U146" s="11" t="n">
        <f aca="false">COUNTA(K146:P146)</f>
        <v>1</v>
      </c>
      <c r="V146" s="11" t="s">
        <v>1952</v>
      </c>
      <c r="W146" s="13" t="s">
        <v>1953</v>
      </c>
    </row>
    <row r="147" customFormat="false" ht="15" hidden="false" customHeight="false" outlineLevel="0" collapsed="false">
      <c r="A147" s="11" t="n">
        <v>146</v>
      </c>
      <c r="B147" s="11" t="s">
        <v>1954</v>
      </c>
      <c r="C147" s="11" t="s">
        <v>13</v>
      </c>
      <c r="D147" s="11" t="s">
        <v>728</v>
      </c>
      <c r="E147" s="11" t="s">
        <v>728</v>
      </c>
      <c r="F147" s="11" t="s">
        <v>51</v>
      </c>
      <c r="G147" s="11" t="s">
        <v>1228</v>
      </c>
      <c r="H147" s="11"/>
      <c r="I147" s="11" t="str">
        <f aca="false">IF(OR(G147="Gros",AND(H147&lt;&gt;"",S147="Oui")),"A",IF(OR(G147="Moyen",H147&lt;&gt;""),"B","C"))</f>
        <v>B</v>
      </c>
      <c r="J147" s="11" t="s">
        <v>1955</v>
      </c>
      <c r="K147" s="11"/>
      <c r="L147" s="12" t="s">
        <v>1956</v>
      </c>
      <c r="M147" s="11"/>
      <c r="N147" s="11"/>
      <c r="O147" s="11"/>
      <c r="P147" s="11"/>
      <c r="Q147" s="11"/>
      <c r="R147" s="12" t="s">
        <v>54</v>
      </c>
      <c r="S147" s="11"/>
      <c r="T147" s="11" t="s">
        <v>55</v>
      </c>
      <c r="U147" s="11" t="n">
        <f aca="false">COUNTA(K147:P147)</f>
        <v>1</v>
      </c>
      <c r="V147" s="11" t="s">
        <v>1957</v>
      </c>
      <c r="W147" s="13" t="s">
        <v>1958</v>
      </c>
    </row>
    <row r="148" customFormat="false" ht="15" hidden="false" customHeight="false" outlineLevel="0" collapsed="false">
      <c r="A148" s="11" t="n">
        <v>147</v>
      </c>
      <c r="B148" s="11" t="s">
        <v>1959</v>
      </c>
      <c r="C148" s="11" t="s">
        <v>13</v>
      </c>
      <c r="D148" s="11" t="s">
        <v>728</v>
      </c>
      <c r="E148" s="11" t="s">
        <v>1960</v>
      </c>
      <c r="F148" s="11" t="s">
        <v>51</v>
      </c>
      <c r="G148" s="11" t="s">
        <v>1228</v>
      </c>
      <c r="H148" s="11"/>
      <c r="I148" s="11" t="str">
        <f aca="false">IF(OR(G148="Gros",AND(H148&lt;&gt;"",S148="Oui")),"A",IF(OR(G148="Moyen",H148&lt;&gt;""),"B","C"))</f>
        <v>B</v>
      </c>
      <c r="J148" s="11" t="s">
        <v>1961</v>
      </c>
      <c r="K148" s="11"/>
      <c r="L148" s="11"/>
      <c r="M148" s="11"/>
      <c r="N148" s="11"/>
      <c r="O148" s="11"/>
      <c r="P148" s="11"/>
      <c r="Q148" s="11"/>
      <c r="R148" s="12" t="s">
        <v>54</v>
      </c>
      <c r="S148" s="11"/>
      <c r="T148" s="11" t="s">
        <v>73</v>
      </c>
      <c r="U148" s="11" t="n">
        <f aca="false">COUNTA(K148:P148)</f>
        <v>0</v>
      </c>
      <c r="V148" s="11" t="s">
        <v>1962</v>
      </c>
      <c r="W148" s="13" t="s">
        <v>1947</v>
      </c>
    </row>
    <row r="149" customFormat="false" ht="15" hidden="false" customHeight="false" outlineLevel="0" collapsed="false">
      <c r="A149" s="11" t="n">
        <v>148</v>
      </c>
      <c r="B149" s="11" t="s">
        <v>1963</v>
      </c>
      <c r="C149" s="11" t="s">
        <v>13</v>
      </c>
      <c r="D149" s="11" t="s">
        <v>728</v>
      </c>
      <c r="E149" s="11" t="s">
        <v>1964</v>
      </c>
      <c r="F149" s="11" t="s">
        <v>122</v>
      </c>
      <c r="G149" s="11" t="s">
        <v>1228</v>
      </c>
      <c r="H149" s="11" t="s">
        <v>1965</v>
      </c>
      <c r="I149" s="11" t="str">
        <f aca="false">IF(OR(G149="Gros",AND(H149&lt;&gt;"",S149="Oui")),"A",IF(OR(G149="Moyen",H149&lt;&gt;""),"B","C"))</f>
        <v>B</v>
      </c>
      <c r="J149" s="11" t="s">
        <v>1966</v>
      </c>
      <c r="K149" s="11"/>
      <c r="L149" s="11"/>
      <c r="M149" s="11"/>
      <c r="N149" s="11"/>
      <c r="O149" s="11"/>
      <c r="P149" s="11"/>
      <c r="Q149" s="11" t="s">
        <v>1967</v>
      </c>
      <c r="R149" s="12" t="s">
        <v>54</v>
      </c>
      <c r="S149" s="11"/>
      <c r="T149" s="11" t="s">
        <v>55</v>
      </c>
      <c r="U149" s="11" t="n">
        <f aca="false">COUNTA(K149:P149)</f>
        <v>0</v>
      </c>
      <c r="V149" s="11" t="s">
        <v>1968</v>
      </c>
      <c r="W149" s="13" t="s">
        <v>1969</v>
      </c>
    </row>
    <row r="150" customFormat="false" ht="15" hidden="false" customHeight="false" outlineLevel="0" collapsed="false">
      <c r="A150" s="11" t="n">
        <v>149</v>
      </c>
      <c r="B150" s="11" t="s">
        <v>1970</v>
      </c>
      <c r="C150" s="11" t="s">
        <v>13</v>
      </c>
      <c r="D150" s="11" t="s">
        <v>728</v>
      </c>
      <c r="E150" s="11" t="s">
        <v>728</v>
      </c>
      <c r="F150" s="11" t="s">
        <v>133</v>
      </c>
      <c r="G150" s="11" t="s">
        <v>1228</v>
      </c>
      <c r="H150" s="11"/>
      <c r="I150" s="11" t="str">
        <f aca="false">IF(OR(G150="Gros",AND(H150&lt;&gt;"",S150="Oui")),"A",IF(OR(G150="Moyen",H150&lt;&gt;""),"B","C"))</f>
        <v>B</v>
      </c>
      <c r="J150" s="11" t="s">
        <v>1971</v>
      </c>
      <c r="K150" s="11"/>
      <c r="L150" s="12" t="s">
        <v>1972</v>
      </c>
      <c r="M150" s="11"/>
      <c r="N150" s="11"/>
      <c r="O150" s="11"/>
      <c r="P150" s="11"/>
      <c r="Q150" s="11"/>
      <c r="R150" s="11"/>
      <c r="S150" s="11"/>
      <c r="T150" s="11" t="s">
        <v>55</v>
      </c>
      <c r="U150" s="11" t="n">
        <f aca="false">COUNTA(K150:P150)</f>
        <v>1</v>
      </c>
      <c r="V150" s="11" t="s">
        <v>1973</v>
      </c>
      <c r="W150" s="13" t="s">
        <v>1974</v>
      </c>
    </row>
    <row r="151" customFormat="false" ht="15" hidden="false" customHeight="false" outlineLevel="0" collapsed="false">
      <c r="A151" s="11" t="n">
        <v>150</v>
      </c>
      <c r="B151" s="11" t="s">
        <v>1975</v>
      </c>
      <c r="C151" s="11" t="s">
        <v>13</v>
      </c>
      <c r="D151" s="11" t="s">
        <v>728</v>
      </c>
      <c r="E151" s="11" t="s">
        <v>1976</v>
      </c>
      <c r="F151" s="11" t="s">
        <v>1241</v>
      </c>
      <c r="G151" s="11" t="s">
        <v>1270</v>
      </c>
      <c r="H151" s="11" t="s">
        <v>1977</v>
      </c>
      <c r="I151" s="11" t="str">
        <f aca="false">IF(OR(G151="Gros",AND(H151&lt;&gt;"",S151="Oui")),"A",IF(OR(G151="Moyen",H151&lt;&gt;""),"B","C"))</f>
        <v>B</v>
      </c>
      <c r="J151" s="11" t="s">
        <v>1978</v>
      </c>
      <c r="K151" s="11"/>
      <c r="L151" s="12" t="s">
        <v>1979</v>
      </c>
      <c r="M151" s="11"/>
      <c r="N151" s="11"/>
      <c r="O151" s="11"/>
      <c r="P151" s="11"/>
      <c r="Q151" s="11"/>
      <c r="R151" s="12" t="s">
        <v>54</v>
      </c>
      <c r="S151" s="11"/>
      <c r="T151" s="11" t="s">
        <v>73</v>
      </c>
      <c r="U151" s="11" t="n">
        <f aca="false">COUNTA(K151:P151)</f>
        <v>1</v>
      </c>
      <c r="V151" s="11" t="s">
        <v>1980</v>
      </c>
      <c r="W151" s="13" t="s">
        <v>1981</v>
      </c>
    </row>
    <row r="152" customFormat="false" ht="15" hidden="false" customHeight="false" outlineLevel="0" collapsed="false">
      <c r="A152" s="11" t="n">
        <v>151</v>
      </c>
      <c r="B152" s="11" t="s">
        <v>1982</v>
      </c>
      <c r="C152" s="11" t="s">
        <v>13</v>
      </c>
      <c r="D152" s="11" t="s">
        <v>728</v>
      </c>
      <c r="E152" s="11" t="s">
        <v>1983</v>
      </c>
      <c r="F152" s="11" t="s">
        <v>51</v>
      </c>
      <c r="G152" s="11" t="s">
        <v>1270</v>
      </c>
      <c r="H152" s="11"/>
      <c r="I152" s="11" t="str">
        <f aca="false">IF(OR(G152="Gros",AND(H152&lt;&gt;"",S152="Oui")),"A",IF(OR(G152="Moyen",H152&lt;&gt;""),"B","C"))</f>
        <v>C</v>
      </c>
      <c r="J152" s="11" t="s">
        <v>1984</v>
      </c>
      <c r="K152" s="11"/>
      <c r="L152" s="11"/>
      <c r="M152" s="11"/>
      <c r="N152" s="11"/>
      <c r="O152" s="11" t="s">
        <v>1985</v>
      </c>
      <c r="P152" s="11"/>
      <c r="Q152" s="11"/>
      <c r="R152" s="12" t="s">
        <v>54</v>
      </c>
      <c r="S152" s="11"/>
      <c r="T152" s="11" t="s">
        <v>73</v>
      </c>
      <c r="U152" s="11" t="n">
        <f aca="false">COUNTA(K152:P152)</f>
        <v>1</v>
      </c>
      <c r="V152" s="11" t="s">
        <v>1986</v>
      </c>
      <c r="W152" s="13" t="s">
        <v>1987</v>
      </c>
    </row>
    <row r="153" customFormat="false" ht="15" hidden="false" customHeight="false" outlineLevel="0" collapsed="false">
      <c r="A153" s="11" t="n">
        <v>152</v>
      </c>
      <c r="B153" s="11" t="s">
        <v>1988</v>
      </c>
      <c r="C153" s="11" t="s">
        <v>13</v>
      </c>
      <c r="D153" s="11" t="s">
        <v>728</v>
      </c>
      <c r="E153" s="11" t="s">
        <v>728</v>
      </c>
      <c r="F153" s="11" t="s">
        <v>51</v>
      </c>
      <c r="G153" s="11" t="s">
        <v>1270</v>
      </c>
      <c r="H153" s="11"/>
      <c r="I153" s="11" t="str">
        <f aca="false">IF(OR(G153="Gros",AND(H153&lt;&gt;"",S153="Oui")),"A",IF(OR(G153="Moyen",H153&lt;&gt;""),"B","C"))</f>
        <v>C</v>
      </c>
      <c r="J153" s="11" t="s">
        <v>1989</v>
      </c>
      <c r="K153" s="11"/>
      <c r="L153" s="12" t="s">
        <v>1990</v>
      </c>
      <c r="M153" s="11"/>
      <c r="N153" s="11"/>
      <c r="O153" s="11"/>
      <c r="P153" s="11"/>
      <c r="Q153" s="11"/>
      <c r="R153" s="12" t="s">
        <v>54</v>
      </c>
      <c r="S153" s="11"/>
      <c r="T153" s="11" t="s">
        <v>55</v>
      </c>
      <c r="U153" s="11" t="n">
        <f aca="false">COUNTA(K153:P153)</f>
        <v>1</v>
      </c>
      <c r="V153" s="11" t="s">
        <v>1991</v>
      </c>
      <c r="W153" s="13" t="s">
        <v>1992</v>
      </c>
    </row>
    <row r="154" customFormat="false" ht="15" hidden="false" customHeight="false" outlineLevel="0" collapsed="false">
      <c r="A154" s="11" t="n">
        <v>153</v>
      </c>
      <c r="B154" s="11" t="s">
        <v>1993</v>
      </c>
      <c r="C154" s="11" t="s">
        <v>13</v>
      </c>
      <c r="D154" s="11" t="s">
        <v>728</v>
      </c>
      <c r="E154" s="11" t="s">
        <v>1994</v>
      </c>
      <c r="F154" s="11" t="s">
        <v>51</v>
      </c>
      <c r="G154" s="11" t="s">
        <v>1270</v>
      </c>
      <c r="H154" s="11"/>
      <c r="I154" s="11" t="str">
        <f aca="false">IF(OR(G154="Gros",AND(H154&lt;&gt;"",S154="Oui")),"A",IF(OR(G154="Moyen",H154&lt;&gt;""),"B","C"))</f>
        <v>C</v>
      </c>
      <c r="J154" s="11" t="s">
        <v>1950</v>
      </c>
      <c r="K154" s="11"/>
      <c r="L154" s="11"/>
      <c r="M154" s="11"/>
      <c r="N154" s="11"/>
      <c r="O154" s="11" t="s">
        <v>1995</v>
      </c>
      <c r="P154" s="11"/>
      <c r="Q154" s="11"/>
      <c r="R154" s="12" t="s">
        <v>54</v>
      </c>
      <c r="S154" s="11"/>
      <c r="T154" s="11" t="s">
        <v>73</v>
      </c>
      <c r="U154" s="11" t="n">
        <f aca="false">COUNTA(K154:P154)</f>
        <v>1</v>
      </c>
      <c r="V154" s="11" t="s">
        <v>1996</v>
      </c>
      <c r="W154" s="13" t="s">
        <v>1987</v>
      </c>
    </row>
    <row r="155" customFormat="false" ht="15" hidden="false" customHeight="false" outlineLevel="0" collapsed="false">
      <c r="A155" s="11" t="n">
        <v>154</v>
      </c>
      <c r="B155" s="11" t="s">
        <v>1997</v>
      </c>
      <c r="C155" s="11" t="s">
        <v>13</v>
      </c>
      <c r="D155" s="11" t="s">
        <v>728</v>
      </c>
      <c r="E155" s="11" t="s">
        <v>1976</v>
      </c>
      <c r="F155" s="11" t="s">
        <v>1241</v>
      </c>
      <c r="G155" s="11" t="s">
        <v>1270</v>
      </c>
      <c r="H155" s="11" t="s">
        <v>1998</v>
      </c>
      <c r="I155" s="11" t="str">
        <f aca="false">IF(OR(G155="Gros",AND(H155&lt;&gt;"",S155="Oui")),"A",IF(OR(G155="Moyen",H155&lt;&gt;""),"B","C"))</f>
        <v>B</v>
      </c>
      <c r="J155" s="11" t="s">
        <v>1999</v>
      </c>
      <c r="K155" s="11"/>
      <c r="L155" s="12" t="s">
        <v>2000</v>
      </c>
      <c r="M155" s="11"/>
      <c r="N155" s="11"/>
      <c r="O155" s="11"/>
      <c r="P155" s="11"/>
      <c r="Q155" s="11"/>
      <c r="R155" s="12" t="s">
        <v>54</v>
      </c>
      <c r="S155" s="11"/>
      <c r="T155" s="11" t="s">
        <v>73</v>
      </c>
      <c r="U155" s="11" t="n">
        <f aca="false">COUNTA(K155:P155)</f>
        <v>1</v>
      </c>
      <c r="V155" s="11" t="s">
        <v>2001</v>
      </c>
      <c r="W155" s="13" t="s">
        <v>1981</v>
      </c>
    </row>
    <row r="156" customFormat="false" ht="15" hidden="false" customHeight="false" outlineLevel="0" collapsed="false">
      <c r="A156" s="11" t="n">
        <v>155</v>
      </c>
      <c r="B156" s="11" t="s">
        <v>2002</v>
      </c>
      <c r="C156" s="11" t="s">
        <v>13</v>
      </c>
      <c r="D156" s="11" t="s">
        <v>728</v>
      </c>
      <c r="E156" s="11" t="s">
        <v>2003</v>
      </c>
      <c r="F156" s="11" t="s">
        <v>452</v>
      </c>
      <c r="G156" s="11" t="s">
        <v>1270</v>
      </c>
      <c r="H156" s="11" t="s">
        <v>2004</v>
      </c>
      <c r="I156" s="11" t="str">
        <f aca="false">IF(OR(G156="Gros",AND(H156&lt;&gt;"",S156="Oui")),"A",IF(OR(G156="Moyen",H156&lt;&gt;""),"B","C"))</f>
        <v>B</v>
      </c>
      <c r="J156" s="11" t="s">
        <v>2005</v>
      </c>
      <c r="K156" s="11"/>
      <c r="L156" s="11"/>
      <c r="M156" s="11"/>
      <c r="N156" s="11"/>
      <c r="O156" s="11"/>
      <c r="P156" s="11"/>
      <c r="Q156" s="11" t="s">
        <v>2006</v>
      </c>
      <c r="R156" s="11"/>
      <c r="S156" s="11"/>
      <c r="T156" s="11" t="s">
        <v>55</v>
      </c>
      <c r="U156" s="11" t="n">
        <f aca="false">COUNTA(K156:P156)</f>
        <v>0</v>
      </c>
      <c r="V156" s="11" t="s">
        <v>2007</v>
      </c>
      <c r="W156" s="13" t="s">
        <v>2008</v>
      </c>
    </row>
    <row r="157" customFormat="false" ht="15" hidden="false" customHeight="false" outlineLevel="0" collapsed="false">
      <c r="A157" s="11" t="n">
        <v>156</v>
      </c>
      <c r="B157" s="11" t="s">
        <v>2009</v>
      </c>
      <c r="C157" s="11" t="s">
        <v>13</v>
      </c>
      <c r="D157" s="11" t="s">
        <v>728</v>
      </c>
      <c r="E157" s="11" t="s">
        <v>2010</v>
      </c>
      <c r="F157" s="11" t="s">
        <v>1241</v>
      </c>
      <c r="G157" s="11" t="s">
        <v>1270</v>
      </c>
      <c r="H157" s="11" t="s">
        <v>2011</v>
      </c>
      <c r="I157" s="11" t="str">
        <f aca="false">IF(OR(G157="Gros",AND(H157&lt;&gt;"",S157="Oui")),"A",IF(OR(G157="Moyen",H157&lt;&gt;""),"B","C"))</f>
        <v>B</v>
      </c>
      <c r="J157" s="11" t="s">
        <v>2012</v>
      </c>
      <c r="K157" s="11"/>
      <c r="L157" s="12" t="s">
        <v>2013</v>
      </c>
      <c r="M157" s="11"/>
      <c r="N157" s="11"/>
      <c r="O157" s="11"/>
      <c r="P157" s="11"/>
      <c r="Q157" s="11"/>
      <c r="R157" s="12" t="s">
        <v>54</v>
      </c>
      <c r="S157" s="11"/>
      <c r="T157" s="11" t="s">
        <v>73</v>
      </c>
      <c r="U157" s="11" t="n">
        <f aca="false">COUNTA(K157:P157)</f>
        <v>1</v>
      </c>
      <c r="V157" s="11" t="s">
        <v>2014</v>
      </c>
      <c r="W157" s="13" t="s">
        <v>1981</v>
      </c>
    </row>
    <row r="158" customFormat="false" ht="15" hidden="false" customHeight="false" outlineLevel="0" collapsed="false">
      <c r="A158" s="11" t="n">
        <v>157</v>
      </c>
      <c r="B158" s="11" t="s">
        <v>2015</v>
      </c>
      <c r="C158" s="11" t="s">
        <v>13</v>
      </c>
      <c r="D158" s="11" t="s">
        <v>728</v>
      </c>
      <c r="E158" s="11" t="s">
        <v>2016</v>
      </c>
      <c r="F158" s="11" t="s">
        <v>1241</v>
      </c>
      <c r="G158" s="11" t="s">
        <v>1270</v>
      </c>
      <c r="H158" s="11"/>
      <c r="I158" s="11" t="str">
        <f aca="false">IF(OR(G158="Gros",AND(H158&lt;&gt;"",S158="Oui")),"A",IF(OR(G158="Moyen",H158&lt;&gt;""),"B","C"))</f>
        <v>C</v>
      </c>
      <c r="J158" s="11" t="s">
        <v>2017</v>
      </c>
      <c r="K158" s="11"/>
      <c r="L158" s="12" t="s">
        <v>2018</v>
      </c>
      <c r="M158" s="11"/>
      <c r="N158" s="11"/>
      <c r="O158" s="11"/>
      <c r="P158" s="11"/>
      <c r="Q158" s="11"/>
      <c r="R158" s="12" t="s">
        <v>54</v>
      </c>
      <c r="S158" s="11"/>
      <c r="T158" s="11" t="s">
        <v>73</v>
      </c>
      <c r="U158" s="11" t="n">
        <f aca="false">COUNTA(K158:P158)</f>
        <v>1</v>
      </c>
      <c r="V158" s="11" t="s">
        <v>2019</v>
      </c>
      <c r="W158" s="13" t="s">
        <v>2020</v>
      </c>
    </row>
    <row r="159" customFormat="false" ht="15" hidden="false" customHeight="false" outlineLevel="0" collapsed="false">
      <c r="A159" s="11" t="n">
        <v>158</v>
      </c>
      <c r="B159" s="11" t="s">
        <v>2021</v>
      </c>
      <c r="C159" s="11" t="s">
        <v>13</v>
      </c>
      <c r="D159" s="11" t="s">
        <v>728</v>
      </c>
      <c r="E159" s="11" t="s">
        <v>1976</v>
      </c>
      <c r="F159" s="11" t="s">
        <v>1241</v>
      </c>
      <c r="G159" s="11" t="s">
        <v>1270</v>
      </c>
      <c r="H159" s="11" t="s">
        <v>2022</v>
      </c>
      <c r="I159" s="11" t="str">
        <f aca="false">IF(OR(G159="Gros",AND(H159&lt;&gt;"",S159="Oui")),"A",IF(OR(G159="Moyen",H159&lt;&gt;""),"B","C"))</f>
        <v>B</v>
      </c>
      <c r="J159" s="11" t="s">
        <v>2023</v>
      </c>
      <c r="K159" s="11"/>
      <c r="L159" s="12" t="s">
        <v>2024</v>
      </c>
      <c r="M159" s="11"/>
      <c r="N159" s="11"/>
      <c r="O159" s="11"/>
      <c r="P159" s="11"/>
      <c r="Q159" s="11"/>
      <c r="R159" s="12" t="s">
        <v>54</v>
      </c>
      <c r="S159" s="11"/>
      <c r="T159" s="11" t="s">
        <v>73</v>
      </c>
      <c r="U159" s="11" t="n">
        <f aca="false">COUNTA(K159:P159)</f>
        <v>1</v>
      </c>
      <c r="V159" s="11" t="s">
        <v>1980</v>
      </c>
      <c r="W159" s="13" t="s">
        <v>1981</v>
      </c>
    </row>
    <row r="160" customFormat="false" ht="15" hidden="false" customHeight="false" outlineLevel="0" collapsed="false">
      <c r="A160" s="11" t="n">
        <v>159</v>
      </c>
      <c r="B160" s="11" t="s">
        <v>2025</v>
      </c>
      <c r="C160" s="11" t="s">
        <v>13</v>
      </c>
      <c r="D160" s="11" t="s">
        <v>728</v>
      </c>
      <c r="E160" s="11" t="s">
        <v>2026</v>
      </c>
      <c r="F160" s="11" t="s">
        <v>51</v>
      </c>
      <c r="G160" s="11" t="s">
        <v>1270</v>
      </c>
      <c r="H160" s="11"/>
      <c r="I160" s="11" t="str">
        <f aca="false">IF(OR(G160="Gros",AND(H160&lt;&gt;"",S160="Oui")),"A",IF(OR(G160="Moyen",H160&lt;&gt;""),"B","C"))</f>
        <v>C</v>
      </c>
      <c r="J160" s="11" t="s">
        <v>2027</v>
      </c>
      <c r="K160" s="11"/>
      <c r="L160" s="11"/>
      <c r="M160" s="12" t="s">
        <v>2028</v>
      </c>
      <c r="N160" s="11"/>
      <c r="O160" s="11"/>
      <c r="P160" s="11"/>
      <c r="Q160" s="11"/>
      <c r="R160" s="12" t="s">
        <v>54</v>
      </c>
      <c r="S160" s="11"/>
      <c r="T160" s="11" t="s">
        <v>73</v>
      </c>
      <c r="U160" s="11" t="n">
        <f aca="false">COUNTA(K160:P160)</f>
        <v>1</v>
      </c>
      <c r="V160" s="11" t="s">
        <v>2029</v>
      </c>
      <c r="W160" s="13" t="s">
        <v>2030</v>
      </c>
    </row>
    <row r="161" customFormat="false" ht="15" hidden="false" customHeight="false" outlineLevel="0" collapsed="false">
      <c r="A161" s="11" t="n">
        <v>160</v>
      </c>
      <c r="B161" s="11" t="s">
        <v>2031</v>
      </c>
      <c r="C161" s="11" t="s">
        <v>13</v>
      </c>
      <c r="D161" s="11" t="s">
        <v>728</v>
      </c>
      <c r="E161" s="11" t="s">
        <v>1976</v>
      </c>
      <c r="F161" s="11" t="s">
        <v>1241</v>
      </c>
      <c r="G161" s="11" t="s">
        <v>1270</v>
      </c>
      <c r="H161" s="11" t="s">
        <v>1998</v>
      </c>
      <c r="I161" s="11" t="str">
        <f aca="false">IF(OR(G161="Gros",AND(H161&lt;&gt;"",S161="Oui")),"A",IF(OR(G161="Moyen",H161&lt;&gt;""),"B","C"))</f>
        <v>B</v>
      </c>
      <c r="J161" s="11" t="s">
        <v>2032</v>
      </c>
      <c r="K161" s="11"/>
      <c r="L161" s="12" t="s">
        <v>2033</v>
      </c>
      <c r="M161" s="11"/>
      <c r="N161" s="11"/>
      <c r="O161" s="11"/>
      <c r="P161" s="11"/>
      <c r="Q161" s="11"/>
      <c r="R161" s="12" t="s">
        <v>54</v>
      </c>
      <c r="S161" s="11"/>
      <c r="T161" s="11" t="s">
        <v>73</v>
      </c>
      <c r="U161" s="11" t="n">
        <f aca="false">COUNTA(K161:P161)</f>
        <v>1</v>
      </c>
      <c r="V161" s="11" t="s">
        <v>2034</v>
      </c>
      <c r="W161" s="13" t="s">
        <v>1981</v>
      </c>
    </row>
    <row r="162" customFormat="false" ht="15" hidden="false" customHeight="false" outlineLevel="0" collapsed="false">
      <c r="A162" s="11" t="n">
        <v>161</v>
      </c>
      <c r="B162" s="11" t="s">
        <v>2035</v>
      </c>
      <c r="C162" s="11" t="s">
        <v>13</v>
      </c>
      <c r="D162" s="11" t="s">
        <v>728</v>
      </c>
      <c r="E162" s="11" t="s">
        <v>2036</v>
      </c>
      <c r="F162" s="11" t="s">
        <v>51</v>
      </c>
      <c r="G162" s="11" t="s">
        <v>1270</v>
      </c>
      <c r="H162" s="11"/>
      <c r="I162" s="11" t="str">
        <f aca="false">IF(OR(G162="Gros",AND(H162&lt;&gt;"",S162="Oui")),"A",IF(OR(G162="Moyen",H162&lt;&gt;""),"B","C"))</f>
        <v>C</v>
      </c>
      <c r="J162" s="11" t="s">
        <v>2037</v>
      </c>
      <c r="K162" s="11"/>
      <c r="L162" s="12" t="s">
        <v>2038</v>
      </c>
      <c r="M162" s="11"/>
      <c r="N162" s="11"/>
      <c r="O162" s="11"/>
      <c r="P162" s="11"/>
      <c r="Q162" s="11"/>
      <c r="R162" s="12" t="s">
        <v>54</v>
      </c>
      <c r="S162" s="11"/>
      <c r="T162" s="11" t="s">
        <v>73</v>
      </c>
      <c r="U162" s="11" t="n">
        <f aca="false">COUNTA(K162:P162)</f>
        <v>1</v>
      </c>
      <c r="V162" s="11" t="s">
        <v>2039</v>
      </c>
      <c r="W162" s="13" t="s">
        <v>2040</v>
      </c>
    </row>
    <row r="163" customFormat="false" ht="15" hidden="false" customHeight="false" outlineLevel="0" collapsed="false">
      <c r="A163" s="11" t="n">
        <v>162</v>
      </c>
      <c r="B163" s="11" t="s">
        <v>2041</v>
      </c>
      <c r="C163" s="11" t="s">
        <v>13</v>
      </c>
      <c r="D163" s="11" t="s">
        <v>728</v>
      </c>
      <c r="E163" s="11" t="s">
        <v>2042</v>
      </c>
      <c r="F163" s="11" t="s">
        <v>51</v>
      </c>
      <c r="G163" s="11" t="s">
        <v>1270</v>
      </c>
      <c r="H163" s="11"/>
      <c r="I163" s="11" t="str">
        <f aca="false">IF(OR(G163="Gros",AND(H163&lt;&gt;"",S163="Oui")),"A",IF(OR(G163="Moyen",H163&lt;&gt;""),"B","C"))</f>
        <v>C</v>
      </c>
      <c r="J163" s="11" t="s">
        <v>2043</v>
      </c>
      <c r="K163" s="11"/>
      <c r="L163" s="11"/>
      <c r="M163" s="12" t="s">
        <v>2044</v>
      </c>
      <c r="N163" s="11"/>
      <c r="O163" s="11"/>
      <c r="P163" s="11"/>
      <c r="Q163" s="11"/>
      <c r="R163" s="12" t="s">
        <v>54</v>
      </c>
      <c r="S163" s="11"/>
      <c r="T163" s="11" t="s">
        <v>55</v>
      </c>
      <c r="U163" s="11" t="n">
        <f aca="false">COUNTA(K163:P163)</f>
        <v>1</v>
      </c>
      <c r="V163" s="11" t="s">
        <v>2045</v>
      </c>
      <c r="W163" s="13" t="s">
        <v>2046</v>
      </c>
    </row>
    <row r="164" customFormat="false" ht="15" hidden="false" customHeight="false" outlineLevel="0" collapsed="false">
      <c r="A164" s="11" t="n">
        <v>163</v>
      </c>
      <c r="B164" s="11" t="s">
        <v>2047</v>
      </c>
      <c r="C164" s="11" t="s">
        <v>13</v>
      </c>
      <c r="D164" s="11" t="s">
        <v>728</v>
      </c>
      <c r="E164" s="11" t="s">
        <v>728</v>
      </c>
      <c r="F164" s="11" t="s">
        <v>133</v>
      </c>
      <c r="G164" s="11" t="s">
        <v>1270</v>
      </c>
      <c r="H164" s="11" t="s">
        <v>1998</v>
      </c>
      <c r="I164" s="11" t="str">
        <f aca="false">IF(OR(G164="Gros",AND(H164&lt;&gt;"",S164="Oui")),"A",IF(OR(G164="Moyen",H164&lt;&gt;""),"B","C"))</f>
        <v>B</v>
      </c>
      <c r="J164" s="11" t="s">
        <v>2048</v>
      </c>
      <c r="K164" s="11"/>
      <c r="L164" s="12" t="s">
        <v>2049</v>
      </c>
      <c r="M164" s="11"/>
      <c r="N164" s="11"/>
      <c r="O164" s="11"/>
      <c r="P164" s="11"/>
      <c r="Q164" s="11"/>
      <c r="R164" s="11"/>
      <c r="S164" s="11"/>
      <c r="T164" s="11" t="s">
        <v>55</v>
      </c>
      <c r="U164" s="11" t="n">
        <f aca="false">COUNTA(K164:P164)</f>
        <v>1</v>
      </c>
      <c r="V164" s="11" t="s">
        <v>2050</v>
      </c>
      <c r="W164" s="13" t="s">
        <v>2051</v>
      </c>
    </row>
    <row r="165" customFormat="false" ht="15" hidden="false" customHeight="false" outlineLevel="0" collapsed="false">
      <c r="A165" s="11" t="n">
        <v>164</v>
      </c>
      <c r="B165" s="11" t="s">
        <v>2052</v>
      </c>
      <c r="C165" s="11" t="s">
        <v>13</v>
      </c>
      <c r="D165" s="11" t="s">
        <v>728</v>
      </c>
      <c r="E165" s="11" t="s">
        <v>728</v>
      </c>
      <c r="F165" s="11" t="s">
        <v>51</v>
      </c>
      <c r="G165" s="11" t="s">
        <v>1270</v>
      </c>
      <c r="H165" s="11"/>
      <c r="I165" s="11" t="str">
        <f aca="false">IF(OR(G165="Gros",AND(H165&lt;&gt;"",S165="Oui")),"A",IF(OR(G165="Moyen",H165&lt;&gt;""),"B","C"))</f>
        <v>C</v>
      </c>
      <c r="J165" s="11" t="s">
        <v>2053</v>
      </c>
      <c r="K165" s="11"/>
      <c r="L165" s="11"/>
      <c r="M165" s="12" t="s">
        <v>2054</v>
      </c>
      <c r="N165" s="11"/>
      <c r="O165" s="11"/>
      <c r="P165" s="11"/>
      <c r="Q165" s="11"/>
      <c r="R165" s="12" t="s">
        <v>54</v>
      </c>
      <c r="S165" s="11"/>
      <c r="T165" s="11" t="s">
        <v>73</v>
      </c>
      <c r="U165" s="11" t="n">
        <f aca="false">COUNTA(K165:P165)</f>
        <v>1</v>
      </c>
      <c r="V165" s="11" t="s">
        <v>2055</v>
      </c>
      <c r="W165" s="13" t="s">
        <v>2056</v>
      </c>
    </row>
    <row r="166" customFormat="false" ht="15" hidden="false" customHeight="false" outlineLevel="0" collapsed="false">
      <c r="A166" s="11" t="n">
        <v>165</v>
      </c>
      <c r="B166" s="11" t="s">
        <v>2057</v>
      </c>
      <c r="C166" s="11" t="s">
        <v>13</v>
      </c>
      <c r="D166" s="11" t="s">
        <v>728</v>
      </c>
      <c r="E166" s="11" t="s">
        <v>728</v>
      </c>
      <c r="F166" s="11" t="s">
        <v>51</v>
      </c>
      <c r="G166" s="11" t="s">
        <v>1270</v>
      </c>
      <c r="H166" s="11"/>
      <c r="I166" s="11" t="str">
        <f aca="false">IF(OR(G166="Gros",AND(H166&lt;&gt;"",S166="Oui")),"A",IF(OR(G166="Moyen",H166&lt;&gt;""),"B","C"))</f>
        <v>C</v>
      </c>
      <c r="J166" s="11" t="s">
        <v>2058</v>
      </c>
      <c r="K166" s="11"/>
      <c r="L166" s="11"/>
      <c r="M166" s="12" t="s">
        <v>2059</v>
      </c>
      <c r="N166" s="11"/>
      <c r="O166" s="11"/>
      <c r="P166" s="11"/>
      <c r="Q166" s="11"/>
      <c r="R166" s="12" t="s">
        <v>54</v>
      </c>
      <c r="S166" s="11"/>
      <c r="T166" s="11" t="s">
        <v>55</v>
      </c>
      <c r="U166" s="11" t="n">
        <f aca="false">COUNTA(K166:P166)</f>
        <v>1</v>
      </c>
      <c r="V166" s="11" t="s">
        <v>2060</v>
      </c>
      <c r="W166" s="13" t="s">
        <v>2061</v>
      </c>
    </row>
    <row r="167" customFormat="false" ht="15" hidden="false" customHeight="false" outlineLevel="0" collapsed="false">
      <c r="A167" s="11" t="n">
        <v>166</v>
      </c>
      <c r="B167" s="11" t="s">
        <v>2062</v>
      </c>
      <c r="C167" s="11" t="s">
        <v>13</v>
      </c>
      <c r="D167" s="11" t="s">
        <v>728</v>
      </c>
      <c r="E167" s="11" t="s">
        <v>2063</v>
      </c>
      <c r="F167" s="11" t="s">
        <v>51</v>
      </c>
      <c r="G167" s="11" t="s">
        <v>1270</v>
      </c>
      <c r="H167" s="11"/>
      <c r="I167" s="11" t="str">
        <f aca="false">IF(OR(G167="Gros",AND(H167&lt;&gt;"",S167="Oui")),"A",IF(OR(G167="Moyen",H167&lt;&gt;""),"B","C"))</f>
        <v>C</v>
      </c>
      <c r="J167" s="11" t="s">
        <v>1950</v>
      </c>
      <c r="K167" s="11"/>
      <c r="L167" s="11"/>
      <c r="M167" s="11"/>
      <c r="N167" s="11"/>
      <c r="O167" s="11"/>
      <c r="P167" s="11"/>
      <c r="Q167" s="11"/>
      <c r="R167" s="12" t="s">
        <v>54</v>
      </c>
      <c r="S167" s="11"/>
      <c r="T167" s="11" t="s">
        <v>73</v>
      </c>
      <c r="U167" s="11" t="n">
        <f aca="false">COUNTA(K167:P167)</f>
        <v>0</v>
      </c>
      <c r="V167" s="11" t="s">
        <v>2064</v>
      </c>
      <c r="W167" s="13" t="s">
        <v>1987</v>
      </c>
    </row>
    <row r="168" customFormat="false" ht="15" hidden="false" customHeight="false" outlineLevel="0" collapsed="false">
      <c r="A168" s="11" t="n">
        <v>167</v>
      </c>
      <c r="B168" s="11" t="s">
        <v>2065</v>
      </c>
      <c r="C168" s="11" t="s">
        <v>13</v>
      </c>
      <c r="D168" s="11" t="s">
        <v>728</v>
      </c>
      <c r="E168" s="11" t="s">
        <v>2066</v>
      </c>
      <c r="F168" s="11" t="s">
        <v>51</v>
      </c>
      <c r="G168" s="11" t="s">
        <v>1270</v>
      </c>
      <c r="H168" s="11"/>
      <c r="I168" s="11" t="str">
        <f aca="false">IF(OR(G168="Gros",AND(H168&lt;&gt;"",S168="Oui")),"A",IF(OR(G168="Moyen",H168&lt;&gt;""),"B","C"))</f>
        <v>C</v>
      </c>
      <c r="J168" s="11" t="s">
        <v>2067</v>
      </c>
      <c r="K168" s="11"/>
      <c r="L168" s="11"/>
      <c r="M168" s="12" t="s">
        <v>2068</v>
      </c>
      <c r="N168" s="11"/>
      <c r="O168" s="11"/>
      <c r="P168" s="11"/>
      <c r="Q168" s="11"/>
      <c r="R168" s="12" t="s">
        <v>54</v>
      </c>
      <c r="S168" s="11"/>
      <c r="T168" s="11" t="s">
        <v>2069</v>
      </c>
      <c r="U168" s="11" t="n">
        <f aca="false">COUNTA(K168:P168)</f>
        <v>1</v>
      </c>
      <c r="V168" s="11" t="s">
        <v>2070</v>
      </c>
      <c r="W168" s="13" t="s">
        <v>2071</v>
      </c>
    </row>
    <row r="169" customFormat="false" ht="15" hidden="false" customHeight="false" outlineLevel="0" collapsed="false">
      <c r="A169" s="11" t="n">
        <v>168</v>
      </c>
      <c r="B169" s="11" t="s">
        <v>2072</v>
      </c>
      <c r="C169" s="11" t="s">
        <v>13</v>
      </c>
      <c r="D169" s="11" t="s">
        <v>728</v>
      </c>
      <c r="E169" s="11" t="s">
        <v>2073</v>
      </c>
      <c r="F169" s="11" t="s">
        <v>51</v>
      </c>
      <c r="G169" s="11" t="s">
        <v>1270</v>
      </c>
      <c r="H169" s="11"/>
      <c r="I169" s="11" t="str">
        <f aca="false">IF(OR(G169="Gros",AND(H169&lt;&gt;"",S169="Oui")),"A",IF(OR(G169="Moyen",H169&lt;&gt;""),"B","C"))</f>
        <v>C</v>
      </c>
      <c r="J169" s="11" t="s">
        <v>2074</v>
      </c>
      <c r="K169" s="11"/>
      <c r="L169" s="11"/>
      <c r="M169" s="12" t="s">
        <v>2075</v>
      </c>
      <c r="N169" s="11"/>
      <c r="O169" s="11"/>
      <c r="P169" s="11"/>
      <c r="Q169" s="11"/>
      <c r="R169" s="12" t="s">
        <v>54</v>
      </c>
      <c r="S169" s="11"/>
      <c r="T169" s="11" t="s">
        <v>55</v>
      </c>
      <c r="U169" s="11" t="n">
        <f aca="false">COUNTA(K169:P169)</f>
        <v>1</v>
      </c>
      <c r="V169" s="11" t="s">
        <v>2076</v>
      </c>
      <c r="W169" s="13" t="s">
        <v>2077</v>
      </c>
    </row>
    <row r="170" customFormat="false" ht="15" hidden="false" customHeight="false" outlineLevel="0" collapsed="false">
      <c r="A170" s="11" t="n">
        <v>169</v>
      </c>
      <c r="B170" s="11" t="s">
        <v>2078</v>
      </c>
      <c r="C170" s="11" t="s">
        <v>13</v>
      </c>
      <c r="D170" s="11" t="s">
        <v>728</v>
      </c>
      <c r="E170" s="11" t="s">
        <v>2079</v>
      </c>
      <c r="F170" s="11" t="s">
        <v>133</v>
      </c>
      <c r="G170" s="11" t="s">
        <v>1270</v>
      </c>
      <c r="H170" s="11"/>
      <c r="I170" s="11" t="str">
        <f aca="false">IF(OR(G170="Gros",AND(H170&lt;&gt;"",S170="Oui")),"A",IF(OR(G170="Moyen",H170&lt;&gt;""),"B","C"))</f>
        <v>C</v>
      </c>
      <c r="J170" s="11" t="s">
        <v>2080</v>
      </c>
      <c r="K170" s="11"/>
      <c r="L170" s="12" t="s">
        <v>2081</v>
      </c>
      <c r="M170" s="11"/>
      <c r="N170" s="11"/>
      <c r="O170" s="11"/>
      <c r="P170" s="11"/>
      <c r="Q170" s="11"/>
      <c r="R170" s="11"/>
      <c r="S170" s="11"/>
      <c r="T170" s="11" t="s">
        <v>55</v>
      </c>
      <c r="U170" s="11" t="n">
        <f aca="false">COUNTA(K170:P170)</f>
        <v>1</v>
      </c>
      <c r="V170" s="11" t="s">
        <v>2082</v>
      </c>
      <c r="W170" s="13" t="s">
        <v>2083</v>
      </c>
    </row>
    <row r="171" customFormat="false" ht="15" hidden="false" customHeight="false" outlineLevel="0" collapsed="false">
      <c r="A171" s="11" t="n">
        <v>170</v>
      </c>
      <c r="B171" s="11" t="s">
        <v>2084</v>
      </c>
      <c r="C171" s="11" t="s">
        <v>13</v>
      </c>
      <c r="D171" s="11" t="s">
        <v>728</v>
      </c>
      <c r="E171" s="11" t="s">
        <v>728</v>
      </c>
      <c r="F171" s="11" t="s">
        <v>51</v>
      </c>
      <c r="G171" s="11" t="s">
        <v>1270</v>
      </c>
      <c r="H171" s="11"/>
      <c r="I171" s="11" t="str">
        <f aca="false">IF(OR(G171="Gros",AND(H171&lt;&gt;"",S171="Oui")),"A",IF(OR(G171="Moyen",H171&lt;&gt;""),"B","C"))</f>
        <v>C</v>
      </c>
      <c r="J171" s="11" t="s">
        <v>2085</v>
      </c>
      <c r="K171" s="11"/>
      <c r="L171" s="12" t="s">
        <v>2086</v>
      </c>
      <c r="M171" s="11"/>
      <c r="N171" s="11"/>
      <c r="O171" s="11"/>
      <c r="P171" s="11"/>
      <c r="Q171" s="11"/>
      <c r="R171" s="12" t="s">
        <v>54</v>
      </c>
      <c r="S171" s="11"/>
      <c r="T171" s="11" t="s">
        <v>55</v>
      </c>
      <c r="U171" s="11" t="n">
        <f aca="false">COUNTA(K171:P171)</f>
        <v>1</v>
      </c>
      <c r="V171" s="11" t="s">
        <v>2087</v>
      </c>
      <c r="W171" s="13" t="s">
        <v>2088</v>
      </c>
    </row>
    <row r="172" customFormat="false" ht="15" hidden="false" customHeight="false" outlineLevel="0" collapsed="false">
      <c r="A172" s="11" t="n">
        <v>171</v>
      </c>
      <c r="B172" s="11" t="s">
        <v>2089</v>
      </c>
      <c r="C172" s="11" t="s">
        <v>13</v>
      </c>
      <c r="D172" s="11" t="s">
        <v>728</v>
      </c>
      <c r="E172" s="11" t="s">
        <v>2090</v>
      </c>
      <c r="F172" s="11" t="s">
        <v>51</v>
      </c>
      <c r="G172" s="11" t="s">
        <v>1270</v>
      </c>
      <c r="H172" s="11"/>
      <c r="I172" s="11" t="str">
        <f aca="false">IF(OR(G172="Gros",AND(H172&lt;&gt;"",S172="Oui")),"A",IF(OR(G172="Moyen",H172&lt;&gt;""),"B","C"))</f>
        <v>C</v>
      </c>
      <c r="J172" s="11" t="s">
        <v>1355</v>
      </c>
      <c r="K172" s="11"/>
      <c r="L172" s="11"/>
      <c r="M172" s="11"/>
      <c r="N172" s="11"/>
      <c r="O172" s="11" t="s">
        <v>2091</v>
      </c>
      <c r="P172" s="11"/>
      <c r="Q172" s="11"/>
      <c r="R172" s="12" t="s">
        <v>54</v>
      </c>
      <c r="S172" s="11"/>
      <c r="T172" s="11" t="s">
        <v>73</v>
      </c>
      <c r="U172" s="11" t="n">
        <f aca="false">COUNTA(K172:P172)</f>
        <v>1</v>
      </c>
      <c r="V172" s="11" t="s">
        <v>2092</v>
      </c>
      <c r="W172" s="13" t="s">
        <v>1987</v>
      </c>
    </row>
    <row r="173" customFormat="false" ht="15" hidden="false" customHeight="false" outlineLevel="0" collapsed="false">
      <c r="A173" s="11" t="n">
        <v>172</v>
      </c>
      <c r="B173" s="11" t="s">
        <v>2093</v>
      </c>
      <c r="C173" s="11" t="s">
        <v>13</v>
      </c>
      <c r="D173" s="11" t="s">
        <v>728</v>
      </c>
      <c r="E173" s="11" t="s">
        <v>2094</v>
      </c>
      <c r="F173" s="11" t="s">
        <v>51</v>
      </c>
      <c r="G173" s="11" t="s">
        <v>1270</v>
      </c>
      <c r="H173" s="11"/>
      <c r="I173" s="11" t="str">
        <f aca="false">IF(OR(G173="Gros",AND(H173&lt;&gt;"",S173="Oui")),"A",IF(OR(G173="Moyen",H173&lt;&gt;""),"B","C"))</f>
        <v>C</v>
      </c>
      <c r="J173" s="11" t="s">
        <v>1355</v>
      </c>
      <c r="K173" s="11"/>
      <c r="L173" s="11"/>
      <c r="M173" s="11"/>
      <c r="N173" s="11"/>
      <c r="O173" s="11" t="s">
        <v>2095</v>
      </c>
      <c r="P173" s="11"/>
      <c r="Q173" s="11"/>
      <c r="R173" s="12" t="s">
        <v>54</v>
      </c>
      <c r="S173" s="11"/>
      <c r="T173" s="11" t="s">
        <v>73</v>
      </c>
      <c r="U173" s="11" t="n">
        <f aca="false">COUNTA(K173:P173)</f>
        <v>1</v>
      </c>
      <c r="V173" s="11" t="s">
        <v>2096</v>
      </c>
      <c r="W173" s="13" t="s">
        <v>1987</v>
      </c>
    </row>
    <row r="174" customFormat="false" ht="15" hidden="false" customHeight="false" outlineLevel="0" collapsed="false">
      <c r="A174" s="11" t="n">
        <v>173</v>
      </c>
      <c r="B174" s="11" t="s">
        <v>2097</v>
      </c>
      <c r="C174" s="11" t="s">
        <v>13</v>
      </c>
      <c r="D174" s="11" t="s">
        <v>728</v>
      </c>
      <c r="E174" s="11" t="s">
        <v>2098</v>
      </c>
      <c r="F174" s="11" t="s">
        <v>51</v>
      </c>
      <c r="G174" s="11" t="s">
        <v>1270</v>
      </c>
      <c r="H174" s="11"/>
      <c r="I174" s="11" t="str">
        <f aca="false">IF(OR(G174="Gros",AND(H174&lt;&gt;"",S174="Oui")),"A",IF(OR(G174="Moyen",H174&lt;&gt;""),"B","C"))</f>
        <v>C</v>
      </c>
      <c r="J174" s="11" t="s">
        <v>1950</v>
      </c>
      <c r="K174" s="11"/>
      <c r="L174" s="11"/>
      <c r="M174" s="11"/>
      <c r="N174" s="11"/>
      <c r="O174" s="11" t="s">
        <v>2099</v>
      </c>
      <c r="P174" s="11"/>
      <c r="Q174" s="11"/>
      <c r="R174" s="12" t="s">
        <v>54</v>
      </c>
      <c r="S174" s="11"/>
      <c r="T174" s="11" t="s">
        <v>73</v>
      </c>
      <c r="U174" s="11" t="n">
        <f aca="false">COUNTA(K174:P174)</f>
        <v>1</v>
      </c>
      <c r="V174" s="11" t="s">
        <v>2100</v>
      </c>
      <c r="W174" s="13" t="s">
        <v>1987</v>
      </c>
    </row>
    <row r="175" customFormat="false" ht="15" hidden="false" customHeight="false" outlineLevel="0" collapsed="false">
      <c r="A175" s="11" t="n">
        <v>174</v>
      </c>
      <c r="B175" s="11" t="s">
        <v>2101</v>
      </c>
      <c r="C175" s="11" t="s">
        <v>13</v>
      </c>
      <c r="D175" s="11" t="s">
        <v>728</v>
      </c>
      <c r="E175" s="11" t="s">
        <v>1976</v>
      </c>
      <c r="F175" s="11" t="s">
        <v>1241</v>
      </c>
      <c r="G175" s="11" t="s">
        <v>1270</v>
      </c>
      <c r="H175" s="11" t="s">
        <v>2102</v>
      </c>
      <c r="I175" s="11" t="str">
        <f aca="false">IF(OR(G175="Gros",AND(H175&lt;&gt;"",S175="Oui")),"A",IF(OR(G175="Moyen",H175&lt;&gt;""),"B","C"))</f>
        <v>B</v>
      </c>
      <c r="J175" s="11" t="s">
        <v>2103</v>
      </c>
      <c r="K175" s="11"/>
      <c r="L175" s="12" t="s">
        <v>2104</v>
      </c>
      <c r="M175" s="11"/>
      <c r="N175" s="11"/>
      <c r="O175" s="11"/>
      <c r="P175" s="11"/>
      <c r="Q175" s="11"/>
      <c r="R175" s="12" t="s">
        <v>54</v>
      </c>
      <c r="S175" s="11"/>
      <c r="T175" s="11" t="s">
        <v>73</v>
      </c>
      <c r="U175" s="11" t="n">
        <f aca="false">COUNTA(K175:P175)</f>
        <v>1</v>
      </c>
      <c r="V175" s="11" t="s">
        <v>1980</v>
      </c>
      <c r="W175" s="13" t="s">
        <v>1981</v>
      </c>
    </row>
    <row r="176" customFormat="false" ht="15" hidden="false" customHeight="false" outlineLevel="0" collapsed="false">
      <c r="A176" s="11" t="n">
        <v>175</v>
      </c>
      <c r="B176" s="11" t="s">
        <v>2105</v>
      </c>
      <c r="C176" s="11" t="s">
        <v>13</v>
      </c>
      <c r="D176" s="11" t="s">
        <v>728</v>
      </c>
      <c r="E176" s="11" t="s">
        <v>728</v>
      </c>
      <c r="F176" s="11" t="s">
        <v>133</v>
      </c>
      <c r="G176" s="11" t="s">
        <v>1270</v>
      </c>
      <c r="H176" s="11" t="s">
        <v>2106</v>
      </c>
      <c r="I176" s="11" t="str">
        <f aca="false">IF(OR(G176="Gros",AND(H176&lt;&gt;"",S176="Oui")),"A",IF(OR(G176="Moyen",H176&lt;&gt;""),"B","C"))</f>
        <v>B</v>
      </c>
      <c r="J176" s="11" t="s">
        <v>2107</v>
      </c>
      <c r="K176" s="11"/>
      <c r="L176" s="12" t="s">
        <v>2108</v>
      </c>
      <c r="M176" s="11"/>
      <c r="N176" s="11"/>
      <c r="O176" s="11"/>
      <c r="P176" s="11"/>
      <c r="Q176" s="11"/>
      <c r="R176" s="11"/>
      <c r="S176" s="11"/>
      <c r="T176" s="11" t="s">
        <v>55</v>
      </c>
      <c r="U176" s="11" t="n">
        <f aca="false">COUNTA(K176:P176)</f>
        <v>1</v>
      </c>
      <c r="V176" s="11" t="s">
        <v>2109</v>
      </c>
      <c r="W176" s="13" t="s">
        <v>2110</v>
      </c>
    </row>
    <row r="177" customFormat="false" ht="15" hidden="false" customHeight="false" outlineLevel="0" collapsed="false">
      <c r="A177" s="11" t="n">
        <v>176</v>
      </c>
      <c r="B177" s="11" t="s">
        <v>2111</v>
      </c>
      <c r="C177" s="11" t="s">
        <v>13</v>
      </c>
      <c r="D177" s="11" t="s">
        <v>728</v>
      </c>
      <c r="E177" s="11" t="s">
        <v>1976</v>
      </c>
      <c r="F177" s="11" t="s">
        <v>1241</v>
      </c>
      <c r="G177" s="11" t="s">
        <v>1270</v>
      </c>
      <c r="H177" s="11" t="s">
        <v>2112</v>
      </c>
      <c r="I177" s="11" t="str">
        <f aca="false">IF(OR(G177="Gros",AND(H177&lt;&gt;"",S177="Oui")),"A",IF(OR(G177="Moyen",H177&lt;&gt;""),"B","C"))</f>
        <v>B</v>
      </c>
      <c r="J177" s="11" t="s">
        <v>2113</v>
      </c>
      <c r="K177" s="11"/>
      <c r="L177" s="12" t="s">
        <v>2114</v>
      </c>
      <c r="M177" s="11"/>
      <c r="N177" s="11"/>
      <c r="O177" s="11"/>
      <c r="P177" s="11"/>
      <c r="Q177" s="11"/>
      <c r="R177" s="12" t="s">
        <v>54</v>
      </c>
      <c r="S177" s="11"/>
      <c r="T177" s="11" t="s">
        <v>73</v>
      </c>
      <c r="U177" s="11" t="n">
        <f aca="false">COUNTA(K177:P177)</f>
        <v>1</v>
      </c>
      <c r="V177" s="11" t="s">
        <v>1980</v>
      </c>
      <c r="W177" s="13" t="s">
        <v>1981</v>
      </c>
    </row>
    <row r="178" customFormat="false" ht="15" hidden="false" customHeight="false" outlineLevel="0" collapsed="false">
      <c r="A178" s="11" t="n">
        <v>177</v>
      </c>
      <c r="B178" s="11" t="s">
        <v>2115</v>
      </c>
      <c r="C178" s="11" t="s">
        <v>13</v>
      </c>
      <c r="D178" s="11" t="s">
        <v>728</v>
      </c>
      <c r="E178" s="11" t="s">
        <v>2116</v>
      </c>
      <c r="F178" s="11" t="s">
        <v>133</v>
      </c>
      <c r="G178" s="11" t="s">
        <v>1270</v>
      </c>
      <c r="H178" s="11" t="s">
        <v>2011</v>
      </c>
      <c r="I178" s="11" t="str">
        <f aca="false">IF(OR(G178="Gros",AND(H178&lt;&gt;"",S178="Oui")),"A",IF(OR(G178="Moyen",H178&lt;&gt;""),"B","C"))</f>
        <v>B</v>
      </c>
      <c r="J178" s="11" t="s">
        <v>2117</v>
      </c>
      <c r="K178" s="11"/>
      <c r="L178" s="12" t="s">
        <v>2118</v>
      </c>
      <c r="M178" s="11"/>
      <c r="N178" s="11"/>
      <c r="O178" s="11"/>
      <c r="P178" s="11"/>
      <c r="Q178" s="11"/>
      <c r="R178" s="11"/>
      <c r="S178" s="11"/>
      <c r="T178" s="11" t="s">
        <v>73</v>
      </c>
      <c r="U178" s="11" t="n">
        <f aca="false">COUNTA(K178:P178)</f>
        <v>1</v>
      </c>
      <c r="V178" s="11" t="s">
        <v>2119</v>
      </c>
      <c r="W178" s="13" t="s">
        <v>1981</v>
      </c>
    </row>
    <row r="179" customFormat="false" ht="15" hidden="false" customHeight="false" outlineLevel="0" collapsed="false">
      <c r="A179" s="11" t="n">
        <v>178</v>
      </c>
      <c r="B179" s="11" t="s">
        <v>2120</v>
      </c>
      <c r="C179" s="11" t="s">
        <v>13</v>
      </c>
      <c r="D179" s="11" t="s">
        <v>728</v>
      </c>
      <c r="E179" s="11" t="s">
        <v>2121</v>
      </c>
      <c r="F179" s="11" t="s">
        <v>51</v>
      </c>
      <c r="G179" s="11" t="s">
        <v>1270</v>
      </c>
      <c r="H179" s="11"/>
      <c r="I179" s="11" t="str">
        <f aca="false">IF(OR(G179="Gros",AND(H179&lt;&gt;"",S179="Oui")),"A",IF(OR(G179="Moyen",H179&lt;&gt;""),"B","C"))</f>
        <v>C</v>
      </c>
      <c r="J179" s="11" t="s">
        <v>2122</v>
      </c>
      <c r="K179" s="11"/>
      <c r="L179" s="11"/>
      <c r="M179" s="11"/>
      <c r="N179" s="11"/>
      <c r="O179" s="11"/>
      <c r="P179" s="11"/>
      <c r="Q179" s="11"/>
      <c r="R179" s="12" t="s">
        <v>54</v>
      </c>
      <c r="S179" s="11"/>
      <c r="T179" s="11" t="s">
        <v>73</v>
      </c>
      <c r="U179" s="11" t="n">
        <f aca="false">COUNTA(K179:P179)</f>
        <v>0</v>
      </c>
      <c r="V179" s="11" t="s">
        <v>2123</v>
      </c>
      <c r="W179" s="13" t="s">
        <v>2124</v>
      </c>
    </row>
    <row r="180" customFormat="false" ht="15" hidden="false" customHeight="false" outlineLevel="0" collapsed="false">
      <c r="A180" s="11" t="n">
        <v>179</v>
      </c>
      <c r="B180" s="11" t="s">
        <v>2125</v>
      </c>
      <c r="C180" s="11" t="s">
        <v>13</v>
      </c>
      <c r="D180" s="11" t="s">
        <v>728</v>
      </c>
      <c r="E180" s="11" t="s">
        <v>1976</v>
      </c>
      <c r="F180" s="11" t="s">
        <v>1241</v>
      </c>
      <c r="G180" s="11" t="s">
        <v>1270</v>
      </c>
      <c r="H180" s="11" t="s">
        <v>2126</v>
      </c>
      <c r="I180" s="11" t="str">
        <f aca="false">IF(OR(G180="Gros",AND(H180&lt;&gt;"",S180="Oui")),"A",IF(OR(G180="Moyen",H180&lt;&gt;""),"B","C"))</f>
        <v>B</v>
      </c>
      <c r="J180" s="11" t="s">
        <v>2127</v>
      </c>
      <c r="K180" s="11"/>
      <c r="L180" s="12" t="s">
        <v>2128</v>
      </c>
      <c r="M180" s="11"/>
      <c r="N180" s="11"/>
      <c r="O180" s="11"/>
      <c r="P180" s="11"/>
      <c r="Q180" s="11"/>
      <c r="R180" s="12" t="s">
        <v>54</v>
      </c>
      <c r="S180" s="11"/>
      <c r="T180" s="11" t="s">
        <v>73</v>
      </c>
      <c r="U180" s="11" t="n">
        <f aca="false">COUNTA(K180:P180)</f>
        <v>1</v>
      </c>
      <c r="V180" s="11" t="s">
        <v>1980</v>
      </c>
      <c r="W180" s="13" t="s">
        <v>1981</v>
      </c>
    </row>
    <row r="181" customFormat="false" ht="15" hidden="false" customHeight="false" outlineLevel="0" collapsed="false">
      <c r="A181" s="11" t="n">
        <v>180</v>
      </c>
      <c r="B181" s="11" t="s">
        <v>2129</v>
      </c>
      <c r="C181" s="11" t="s">
        <v>13</v>
      </c>
      <c r="D181" s="11" t="s">
        <v>728</v>
      </c>
      <c r="E181" s="11" t="s">
        <v>2130</v>
      </c>
      <c r="F181" s="11" t="s">
        <v>51</v>
      </c>
      <c r="G181" s="11" t="s">
        <v>1270</v>
      </c>
      <c r="H181" s="11"/>
      <c r="I181" s="11" t="str">
        <f aca="false">IF(OR(G181="Gros",AND(H181&lt;&gt;"",S181="Oui")),"A",IF(OR(G181="Moyen",H181&lt;&gt;""),"B","C"))</f>
        <v>C</v>
      </c>
      <c r="J181" s="11" t="s">
        <v>1950</v>
      </c>
      <c r="K181" s="11"/>
      <c r="L181" s="11"/>
      <c r="M181" s="11"/>
      <c r="N181" s="11"/>
      <c r="O181" s="11" t="s">
        <v>2131</v>
      </c>
      <c r="P181" s="11"/>
      <c r="Q181" s="11"/>
      <c r="R181" s="12" t="s">
        <v>54</v>
      </c>
      <c r="S181" s="11"/>
      <c r="T181" s="11" t="s">
        <v>73</v>
      </c>
      <c r="U181" s="11" t="n">
        <f aca="false">COUNTA(K181:P181)</f>
        <v>1</v>
      </c>
      <c r="V181" s="11" t="s">
        <v>1996</v>
      </c>
      <c r="W181" s="13" t="s">
        <v>1987</v>
      </c>
    </row>
    <row r="182" customFormat="false" ht="15" hidden="false" customHeight="false" outlineLevel="0" collapsed="false">
      <c r="A182" s="11" t="n">
        <v>181</v>
      </c>
      <c r="B182" s="11" t="s">
        <v>2132</v>
      </c>
      <c r="C182" s="11" t="s">
        <v>13</v>
      </c>
      <c r="D182" s="11" t="s">
        <v>728</v>
      </c>
      <c r="E182" s="11" t="s">
        <v>2003</v>
      </c>
      <c r="F182" s="11" t="s">
        <v>452</v>
      </c>
      <c r="G182" s="11" t="s">
        <v>1270</v>
      </c>
      <c r="H182" s="11" t="s">
        <v>2133</v>
      </c>
      <c r="I182" s="11" t="str">
        <f aca="false">IF(OR(G182="Gros",AND(H182&lt;&gt;"",S182="Oui")),"A",IF(OR(G182="Moyen",H182&lt;&gt;""),"B","C"))</f>
        <v>B</v>
      </c>
      <c r="J182" s="11" t="s">
        <v>2134</v>
      </c>
      <c r="K182" s="11"/>
      <c r="L182" s="11"/>
      <c r="M182" s="11"/>
      <c r="N182" s="11"/>
      <c r="O182" s="11"/>
      <c r="P182" s="11"/>
      <c r="Q182" s="11" t="s">
        <v>2135</v>
      </c>
      <c r="R182" s="11"/>
      <c r="S182" s="11"/>
      <c r="T182" s="11" t="s">
        <v>73</v>
      </c>
      <c r="U182" s="11" t="n">
        <f aca="false">COUNTA(K182:P182)</f>
        <v>0</v>
      </c>
      <c r="V182" s="11" t="s">
        <v>2136</v>
      </c>
      <c r="W182" s="13" t="s">
        <v>2137</v>
      </c>
    </row>
    <row r="183" customFormat="false" ht="15" hidden="false" customHeight="false" outlineLevel="0" collapsed="false">
      <c r="A183" s="11" t="n">
        <v>182</v>
      </c>
      <c r="B183" s="11" t="s">
        <v>2138</v>
      </c>
      <c r="C183" s="11" t="s">
        <v>13</v>
      </c>
      <c r="D183" s="11" t="s">
        <v>728</v>
      </c>
      <c r="E183" s="11" t="s">
        <v>2139</v>
      </c>
      <c r="F183" s="11" t="s">
        <v>1241</v>
      </c>
      <c r="G183" s="11" t="s">
        <v>1270</v>
      </c>
      <c r="H183" s="11" t="s">
        <v>2106</v>
      </c>
      <c r="I183" s="11" t="str">
        <f aca="false">IF(OR(G183="Gros",AND(H183&lt;&gt;"",S183="Oui")),"A",IF(OR(G183="Moyen",H183&lt;&gt;""),"B","C"))</f>
        <v>B</v>
      </c>
      <c r="J183" s="11" t="s">
        <v>2140</v>
      </c>
      <c r="K183" s="11"/>
      <c r="L183" s="12" t="s">
        <v>2141</v>
      </c>
      <c r="M183" s="11"/>
      <c r="N183" s="11"/>
      <c r="O183" s="11"/>
      <c r="P183" s="11"/>
      <c r="Q183" s="11"/>
      <c r="R183" s="12" t="s">
        <v>54</v>
      </c>
      <c r="S183" s="11"/>
      <c r="T183" s="11" t="s">
        <v>73</v>
      </c>
      <c r="U183" s="11" t="n">
        <f aca="false">COUNTA(K183:P183)</f>
        <v>1</v>
      </c>
      <c r="V183" s="11" t="s">
        <v>2142</v>
      </c>
      <c r="W183" s="13" t="s">
        <v>1981</v>
      </c>
    </row>
    <row r="184" customFormat="false" ht="15" hidden="false" customHeight="false" outlineLevel="0" collapsed="false">
      <c r="A184" s="11" t="n">
        <v>183</v>
      </c>
      <c r="B184" s="11" t="s">
        <v>2143</v>
      </c>
      <c r="C184" s="11" t="s">
        <v>13</v>
      </c>
      <c r="D184" s="11" t="s">
        <v>728</v>
      </c>
      <c r="E184" s="11" t="s">
        <v>2003</v>
      </c>
      <c r="F184" s="11" t="s">
        <v>452</v>
      </c>
      <c r="G184" s="11" t="s">
        <v>1270</v>
      </c>
      <c r="H184" s="11" t="s">
        <v>2144</v>
      </c>
      <c r="I184" s="11" t="str">
        <f aca="false">IF(OR(G184="Gros",AND(H184&lt;&gt;"",S184="Oui")),"A",IF(OR(G184="Moyen",H184&lt;&gt;""),"B","C"))</f>
        <v>B</v>
      </c>
      <c r="J184" s="11" t="s">
        <v>2145</v>
      </c>
      <c r="K184" s="11"/>
      <c r="L184" s="11"/>
      <c r="M184" s="11"/>
      <c r="N184" s="11"/>
      <c r="O184" s="11"/>
      <c r="P184" s="11"/>
      <c r="Q184" s="11" t="s">
        <v>2135</v>
      </c>
      <c r="R184" s="11"/>
      <c r="S184" s="11"/>
      <c r="T184" s="11" t="s">
        <v>55</v>
      </c>
      <c r="U184" s="11" t="n">
        <f aca="false">COUNTA(K184:P184)</f>
        <v>0</v>
      </c>
      <c r="V184" s="11" t="s">
        <v>2146</v>
      </c>
      <c r="W184" s="13" t="s">
        <v>2147</v>
      </c>
    </row>
    <row r="185" customFormat="false" ht="15" hidden="false" customHeight="false" outlineLevel="0" collapsed="false">
      <c r="A185" s="11" t="n">
        <v>184</v>
      </c>
      <c r="B185" s="11" t="s">
        <v>2148</v>
      </c>
      <c r="C185" s="11" t="s">
        <v>13</v>
      </c>
      <c r="D185" s="11" t="s">
        <v>728</v>
      </c>
      <c r="E185" s="11" t="s">
        <v>1976</v>
      </c>
      <c r="F185" s="11" t="s">
        <v>1241</v>
      </c>
      <c r="G185" s="11" t="s">
        <v>1270</v>
      </c>
      <c r="H185" s="11" t="s">
        <v>2149</v>
      </c>
      <c r="I185" s="11" t="str">
        <f aca="false">IF(OR(G185="Gros",AND(H185&lt;&gt;"",S185="Oui")),"A",IF(OR(G185="Moyen",H185&lt;&gt;""),"B","C"))</f>
        <v>B</v>
      </c>
      <c r="J185" s="11" t="s">
        <v>2150</v>
      </c>
      <c r="K185" s="11"/>
      <c r="L185" s="12" t="s">
        <v>2151</v>
      </c>
      <c r="M185" s="11"/>
      <c r="N185" s="11"/>
      <c r="O185" s="11"/>
      <c r="P185" s="11"/>
      <c r="Q185" s="11"/>
      <c r="R185" s="12" t="s">
        <v>54</v>
      </c>
      <c r="S185" s="11"/>
      <c r="T185" s="11" t="s">
        <v>73</v>
      </c>
      <c r="U185" s="11" t="n">
        <f aca="false">COUNTA(K185:P185)</f>
        <v>1</v>
      </c>
      <c r="V185" s="11" t="s">
        <v>2152</v>
      </c>
      <c r="W185" s="13" t="s">
        <v>1981</v>
      </c>
    </row>
    <row r="186" customFormat="false" ht="15" hidden="false" customHeight="false" outlineLevel="0" collapsed="false">
      <c r="A186" s="11" t="n">
        <v>185</v>
      </c>
      <c r="B186" s="11" t="s">
        <v>2153</v>
      </c>
      <c r="C186" s="11" t="s">
        <v>13</v>
      </c>
      <c r="D186" s="11" t="s">
        <v>728</v>
      </c>
      <c r="E186" s="11" t="s">
        <v>2154</v>
      </c>
      <c r="F186" s="11" t="s">
        <v>51</v>
      </c>
      <c r="G186" s="11" t="s">
        <v>1270</v>
      </c>
      <c r="H186" s="11"/>
      <c r="I186" s="11" t="str">
        <f aca="false">IF(OR(G186="Gros",AND(H186&lt;&gt;"",S186="Oui")),"A",IF(OR(G186="Moyen",H186&lt;&gt;""),"B","C"))</f>
        <v>C</v>
      </c>
      <c r="J186" s="11" t="s">
        <v>2155</v>
      </c>
      <c r="K186" s="11"/>
      <c r="L186" s="11"/>
      <c r="M186" s="11"/>
      <c r="N186" s="11"/>
      <c r="O186" s="11" t="s">
        <v>2156</v>
      </c>
      <c r="P186" s="11"/>
      <c r="Q186" s="11"/>
      <c r="R186" s="12" t="s">
        <v>54</v>
      </c>
      <c r="S186" s="11"/>
      <c r="T186" s="11" t="s">
        <v>73</v>
      </c>
      <c r="U186" s="11" t="n">
        <f aca="false">COUNTA(K186:P186)</f>
        <v>1</v>
      </c>
      <c r="V186" s="11" t="s">
        <v>2157</v>
      </c>
      <c r="W186" s="13" t="s">
        <v>1987</v>
      </c>
    </row>
    <row r="187" customFormat="false" ht="15" hidden="false" customHeight="false" outlineLevel="0" collapsed="false">
      <c r="A187" s="11" t="n">
        <v>186</v>
      </c>
      <c r="B187" s="11" t="s">
        <v>2158</v>
      </c>
      <c r="C187" s="11" t="s">
        <v>13</v>
      </c>
      <c r="D187" s="11" t="s">
        <v>728</v>
      </c>
      <c r="E187" s="11" t="s">
        <v>2159</v>
      </c>
      <c r="F187" s="11" t="s">
        <v>452</v>
      </c>
      <c r="G187" s="11" t="s">
        <v>1270</v>
      </c>
      <c r="H187" s="11"/>
      <c r="I187" s="11" t="str">
        <f aca="false">IF(OR(G187="Gros",AND(H187&lt;&gt;"",S187="Oui")),"A",IF(OR(G187="Moyen",H187&lt;&gt;""),"B","C"))</f>
        <v>C</v>
      </c>
      <c r="J187" s="11" t="s">
        <v>2160</v>
      </c>
      <c r="K187" s="11"/>
      <c r="L187" s="11"/>
      <c r="M187" s="11"/>
      <c r="N187" s="11"/>
      <c r="O187" s="11"/>
      <c r="P187" s="11"/>
      <c r="Q187" s="11" t="s">
        <v>2161</v>
      </c>
      <c r="R187" s="11"/>
      <c r="S187" s="11"/>
      <c r="T187" s="11" t="s">
        <v>55</v>
      </c>
      <c r="U187" s="11" t="n">
        <f aca="false">COUNTA(K187:P187)</f>
        <v>0</v>
      </c>
      <c r="V187" s="11" t="s">
        <v>2162</v>
      </c>
      <c r="W187" s="13" t="s">
        <v>2163</v>
      </c>
    </row>
    <row r="188" customFormat="false" ht="15" hidden="false" customHeight="false" outlineLevel="0" collapsed="false">
      <c r="A188" s="11" t="n">
        <v>187</v>
      </c>
      <c r="B188" s="11" t="s">
        <v>2164</v>
      </c>
      <c r="C188" s="11" t="s">
        <v>13</v>
      </c>
      <c r="D188" s="11" t="s">
        <v>728</v>
      </c>
      <c r="E188" s="11" t="s">
        <v>1976</v>
      </c>
      <c r="F188" s="11" t="s">
        <v>1241</v>
      </c>
      <c r="G188" s="11" t="s">
        <v>1270</v>
      </c>
      <c r="H188" s="11" t="s">
        <v>2149</v>
      </c>
      <c r="I188" s="11" t="str">
        <f aca="false">IF(OR(G188="Gros",AND(H188&lt;&gt;"",S188="Oui")),"A",IF(OR(G188="Moyen",H188&lt;&gt;""),"B","C"))</f>
        <v>B</v>
      </c>
      <c r="J188" s="11" t="s">
        <v>2150</v>
      </c>
      <c r="K188" s="11"/>
      <c r="L188" s="12" t="s">
        <v>2165</v>
      </c>
      <c r="M188" s="11"/>
      <c r="N188" s="11"/>
      <c r="O188" s="11"/>
      <c r="P188" s="11"/>
      <c r="Q188" s="11"/>
      <c r="R188" s="12" t="s">
        <v>54</v>
      </c>
      <c r="S188" s="11"/>
      <c r="T188" s="11" t="s">
        <v>73</v>
      </c>
      <c r="U188" s="11" t="n">
        <f aca="false">COUNTA(K188:P188)</f>
        <v>1</v>
      </c>
      <c r="V188" s="11" t="s">
        <v>1980</v>
      </c>
      <c r="W188" s="13" t="s">
        <v>1981</v>
      </c>
    </row>
    <row r="189" customFormat="false" ht="15" hidden="false" customHeight="false" outlineLevel="0" collapsed="false">
      <c r="A189" s="11" t="n">
        <v>188</v>
      </c>
      <c r="B189" s="11" t="s">
        <v>2166</v>
      </c>
      <c r="C189" s="11" t="s">
        <v>13</v>
      </c>
      <c r="D189" s="11" t="s">
        <v>728</v>
      </c>
      <c r="E189" s="11" t="s">
        <v>2167</v>
      </c>
      <c r="F189" s="11" t="s">
        <v>51</v>
      </c>
      <c r="G189" s="11" t="s">
        <v>1270</v>
      </c>
      <c r="H189" s="11"/>
      <c r="I189" s="11" t="str">
        <f aca="false">IF(OR(G189="Gros",AND(H189&lt;&gt;"",S189="Oui")),"A",IF(OR(G189="Moyen",H189&lt;&gt;""),"B","C"))</f>
        <v>C</v>
      </c>
      <c r="J189" s="11" t="s">
        <v>2168</v>
      </c>
      <c r="K189" s="11"/>
      <c r="L189" s="12" t="s">
        <v>2169</v>
      </c>
      <c r="M189" s="11"/>
      <c r="N189" s="11"/>
      <c r="O189" s="11"/>
      <c r="P189" s="11"/>
      <c r="Q189" s="11"/>
      <c r="R189" s="12" t="s">
        <v>54</v>
      </c>
      <c r="S189" s="11"/>
      <c r="T189" s="11" t="s">
        <v>55</v>
      </c>
      <c r="U189" s="11" t="n">
        <f aca="false">COUNTA(K189:P189)</f>
        <v>1</v>
      </c>
      <c r="V189" s="11" t="s">
        <v>2170</v>
      </c>
      <c r="W189" s="13" t="s">
        <v>2171</v>
      </c>
    </row>
    <row r="190" customFormat="false" ht="15" hidden="false" customHeight="false" outlineLevel="0" collapsed="false">
      <c r="A190" s="11" t="n">
        <v>189</v>
      </c>
      <c r="B190" s="11" t="s">
        <v>2172</v>
      </c>
      <c r="C190" s="11" t="s">
        <v>13</v>
      </c>
      <c r="D190" s="11" t="s">
        <v>728</v>
      </c>
      <c r="E190" s="11" t="s">
        <v>1976</v>
      </c>
      <c r="F190" s="11" t="s">
        <v>1241</v>
      </c>
      <c r="G190" s="11" t="s">
        <v>1270</v>
      </c>
      <c r="H190" s="11" t="s">
        <v>1998</v>
      </c>
      <c r="I190" s="11" t="str">
        <f aca="false">IF(OR(G190="Gros",AND(H190&lt;&gt;"",S190="Oui")),"A",IF(OR(G190="Moyen",H190&lt;&gt;""),"B","C"))</f>
        <v>B</v>
      </c>
      <c r="J190" s="11" t="s">
        <v>2173</v>
      </c>
      <c r="K190" s="11"/>
      <c r="L190" s="12" t="s">
        <v>2174</v>
      </c>
      <c r="M190" s="11"/>
      <c r="N190" s="11"/>
      <c r="O190" s="11"/>
      <c r="P190" s="11"/>
      <c r="Q190" s="11"/>
      <c r="R190" s="12" t="s">
        <v>54</v>
      </c>
      <c r="S190" s="11"/>
      <c r="T190" s="11" t="s">
        <v>73</v>
      </c>
      <c r="U190" s="11" t="n">
        <f aca="false">COUNTA(K190:P190)</f>
        <v>1</v>
      </c>
      <c r="V190" s="11" t="s">
        <v>2152</v>
      </c>
      <c r="W190" s="13" t="s">
        <v>1981</v>
      </c>
    </row>
    <row r="191" customFormat="false" ht="15" hidden="false" customHeight="false" outlineLevel="0" collapsed="false">
      <c r="A191" s="11" t="n">
        <v>190</v>
      </c>
      <c r="B191" s="11" t="s">
        <v>2175</v>
      </c>
      <c r="C191" s="11" t="s">
        <v>13</v>
      </c>
      <c r="D191" s="11" t="s">
        <v>728</v>
      </c>
      <c r="E191" s="11" t="s">
        <v>1976</v>
      </c>
      <c r="F191" s="11" t="s">
        <v>1241</v>
      </c>
      <c r="G191" s="11" t="s">
        <v>1270</v>
      </c>
      <c r="H191" s="11" t="s">
        <v>2176</v>
      </c>
      <c r="I191" s="11" t="str">
        <f aca="false">IF(OR(G191="Gros",AND(H191&lt;&gt;"",S191="Oui")),"A",IF(OR(G191="Moyen",H191&lt;&gt;""),"B","C"))</f>
        <v>B</v>
      </c>
      <c r="J191" s="11" t="s">
        <v>2177</v>
      </c>
      <c r="K191" s="11"/>
      <c r="L191" s="12" t="s">
        <v>2178</v>
      </c>
      <c r="M191" s="11"/>
      <c r="N191" s="11"/>
      <c r="O191" s="11"/>
      <c r="P191" s="11"/>
      <c r="Q191" s="11"/>
      <c r="R191" s="12" t="s">
        <v>54</v>
      </c>
      <c r="S191" s="11"/>
      <c r="T191" s="11" t="s">
        <v>73</v>
      </c>
      <c r="U191" s="11" t="n">
        <f aca="false">COUNTA(K191:P191)</f>
        <v>1</v>
      </c>
      <c r="V191" s="11" t="s">
        <v>2001</v>
      </c>
      <c r="W191" s="13" t="s">
        <v>1981</v>
      </c>
    </row>
    <row r="192" customFormat="false" ht="15" hidden="false" customHeight="false" outlineLevel="0" collapsed="false">
      <c r="A192" s="11" t="n">
        <v>191</v>
      </c>
      <c r="B192" s="11" t="s">
        <v>2179</v>
      </c>
      <c r="C192" s="11" t="s">
        <v>13</v>
      </c>
      <c r="D192" s="11" t="s">
        <v>728</v>
      </c>
      <c r="E192" s="11" t="s">
        <v>2159</v>
      </c>
      <c r="F192" s="11" t="s">
        <v>452</v>
      </c>
      <c r="G192" s="11" t="s">
        <v>1270</v>
      </c>
      <c r="H192" s="11"/>
      <c r="I192" s="11" t="str">
        <f aca="false">IF(OR(G192="Gros",AND(H192&lt;&gt;"",S192="Oui")),"A",IF(OR(G192="Moyen",H192&lt;&gt;""),"B","C"))</f>
        <v>C</v>
      </c>
      <c r="J192" s="11" t="s">
        <v>2160</v>
      </c>
      <c r="K192" s="11"/>
      <c r="L192" s="11"/>
      <c r="M192" s="11"/>
      <c r="N192" s="11"/>
      <c r="O192" s="11"/>
      <c r="P192" s="11"/>
      <c r="Q192" s="11" t="s">
        <v>2180</v>
      </c>
      <c r="R192" s="11"/>
      <c r="S192" s="11"/>
      <c r="T192" s="11" t="s">
        <v>55</v>
      </c>
      <c r="U192" s="11" t="n">
        <f aca="false">COUNTA(K192:P192)</f>
        <v>0</v>
      </c>
      <c r="V192" s="11" t="s">
        <v>2181</v>
      </c>
      <c r="W192" s="13" t="s">
        <v>2163</v>
      </c>
    </row>
    <row r="193" customFormat="false" ht="15" hidden="false" customHeight="false" outlineLevel="0" collapsed="false">
      <c r="A193" s="11" t="n">
        <v>192</v>
      </c>
      <c r="B193" s="11" t="s">
        <v>2182</v>
      </c>
      <c r="C193" s="11" t="s">
        <v>13</v>
      </c>
      <c r="D193" s="11" t="s">
        <v>728</v>
      </c>
      <c r="E193" s="11" t="s">
        <v>1976</v>
      </c>
      <c r="F193" s="11" t="s">
        <v>1241</v>
      </c>
      <c r="G193" s="11" t="s">
        <v>1270</v>
      </c>
      <c r="H193" s="11" t="s">
        <v>1998</v>
      </c>
      <c r="I193" s="11" t="str">
        <f aca="false">IF(OR(G193="Gros",AND(H193&lt;&gt;"",S193="Oui")),"A",IF(OR(G193="Moyen",H193&lt;&gt;""),"B","C"))</f>
        <v>B</v>
      </c>
      <c r="J193" s="11" t="s">
        <v>2183</v>
      </c>
      <c r="K193" s="11"/>
      <c r="L193" s="12" t="s">
        <v>2184</v>
      </c>
      <c r="M193" s="11"/>
      <c r="N193" s="11"/>
      <c r="O193" s="11"/>
      <c r="P193" s="11"/>
      <c r="Q193" s="11"/>
      <c r="R193" s="12" t="s">
        <v>54</v>
      </c>
      <c r="S193" s="11"/>
      <c r="T193" s="11" t="s">
        <v>73</v>
      </c>
      <c r="U193" s="11" t="n">
        <f aca="false">COUNTA(K193:P193)</f>
        <v>1</v>
      </c>
      <c r="V193" s="11" t="s">
        <v>2001</v>
      </c>
      <c r="W193" s="13" t="s">
        <v>1981</v>
      </c>
    </row>
    <row r="194" customFormat="false" ht="15" hidden="false" customHeight="false" outlineLevel="0" collapsed="false">
      <c r="A194" s="11" t="n">
        <v>193</v>
      </c>
      <c r="B194" s="11" t="s">
        <v>2185</v>
      </c>
      <c r="C194" s="11" t="s">
        <v>13</v>
      </c>
      <c r="D194" s="11" t="s">
        <v>728</v>
      </c>
      <c r="E194" s="11" t="s">
        <v>2186</v>
      </c>
      <c r="F194" s="11" t="s">
        <v>51</v>
      </c>
      <c r="G194" s="11" t="s">
        <v>1270</v>
      </c>
      <c r="H194" s="11"/>
      <c r="I194" s="11" t="str">
        <f aca="false">IF(OR(G194="Gros",AND(H194&lt;&gt;"",S194="Oui")),"A",IF(OR(G194="Moyen",H194&lt;&gt;""),"B","C"))</f>
        <v>C</v>
      </c>
      <c r="J194" s="11" t="s">
        <v>2187</v>
      </c>
      <c r="K194" s="11"/>
      <c r="L194" s="11"/>
      <c r="M194" s="11"/>
      <c r="N194" s="11"/>
      <c r="O194" s="11"/>
      <c r="P194" s="11"/>
      <c r="Q194" s="11"/>
      <c r="R194" s="12" t="s">
        <v>54</v>
      </c>
      <c r="S194" s="11"/>
      <c r="T194" s="11" t="s">
        <v>73</v>
      </c>
      <c r="U194" s="11" t="n">
        <f aca="false">COUNTA(K194:P194)</f>
        <v>0</v>
      </c>
      <c r="V194" s="11" t="s">
        <v>2188</v>
      </c>
      <c r="W194" s="13" t="s">
        <v>2124</v>
      </c>
    </row>
    <row r="195" customFormat="false" ht="15" hidden="false" customHeight="false" outlineLevel="0" collapsed="false">
      <c r="A195" s="11" t="n">
        <v>194</v>
      </c>
      <c r="B195" s="11" t="s">
        <v>2189</v>
      </c>
      <c r="C195" s="11" t="s">
        <v>13</v>
      </c>
      <c r="D195" s="11" t="s">
        <v>728</v>
      </c>
      <c r="E195" s="11" t="s">
        <v>1976</v>
      </c>
      <c r="F195" s="11" t="s">
        <v>1241</v>
      </c>
      <c r="G195" s="11" t="s">
        <v>1270</v>
      </c>
      <c r="H195" s="11" t="s">
        <v>2190</v>
      </c>
      <c r="I195" s="11" t="str">
        <f aca="false">IF(OR(G195="Gros",AND(H195&lt;&gt;"",S195="Oui")),"A",IF(OR(G195="Moyen",H195&lt;&gt;""),"B","C"))</f>
        <v>B</v>
      </c>
      <c r="J195" s="11" t="s">
        <v>2191</v>
      </c>
      <c r="K195" s="11"/>
      <c r="L195" s="12" t="s">
        <v>2192</v>
      </c>
      <c r="M195" s="11"/>
      <c r="N195" s="11"/>
      <c r="O195" s="11"/>
      <c r="P195" s="11"/>
      <c r="Q195" s="11"/>
      <c r="R195" s="12" t="s">
        <v>54</v>
      </c>
      <c r="S195" s="11"/>
      <c r="T195" s="11" t="s">
        <v>73</v>
      </c>
      <c r="U195" s="11" t="n">
        <f aca="false">COUNTA(K195:P195)</f>
        <v>1</v>
      </c>
      <c r="V195" s="11" t="s">
        <v>2193</v>
      </c>
      <c r="W195" s="13" t="s">
        <v>1981</v>
      </c>
    </row>
    <row r="196" customFormat="false" ht="15" hidden="false" customHeight="false" outlineLevel="0" collapsed="false">
      <c r="A196" s="11" t="n">
        <v>195</v>
      </c>
      <c r="B196" s="11" t="s">
        <v>2194</v>
      </c>
      <c r="C196" s="11" t="s">
        <v>13</v>
      </c>
      <c r="D196" s="11" t="s">
        <v>728</v>
      </c>
      <c r="E196" s="11" t="s">
        <v>2195</v>
      </c>
      <c r="F196" s="11" t="s">
        <v>51</v>
      </c>
      <c r="G196" s="11" t="s">
        <v>1270</v>
      </c>
      <c r="H196" s="11"/>
      <c r="I196" s="11" t="str">
        <f aca="false">IF(OR(G196="Gros",AND(H196&lt;&gt;"",S196="Oui")),"A",IF(OR(G196="Moyen",H196&lt;&gt;""),"B","C"))</f>
        <v>C</v>
      </c>
      <c r="J196" s="11" t="s">
        <v>2196</v>
      </c>
      <c r="K196" s="11"/>
      <c r="L196" s="12" t="s">
        <v>2197</v>
      </c>
      <c r="M196" s="11"/>
      <c r="N196" s="11"/>
      <c r="O196" s="11"/>
      <c r="P196" s="11"/>
      <c r="Q196" s="11"/>
      <c r="R196" s="12" t="s">
        <v>54</v>
      </c>
      <c r="S196" s="11"/>
      <c r="T196" s="11" t="s">
        <v>55</v>
      </c>
      <c r="U196" s="11" t="n">
        <f aca="false">COUNTA(K196:P196)</f>
        <v>1</v>
      </c>
      <c r="V196" s="11" t="s">
        <v>2198</v>
      </c>
      <c r="W196" s="13" t="s">
        <v>2199</v>
      </c>
    </row>
    <row r="197" customFormat="false" ht="15" hidden="false" customHeight="false" outlineLevel="0" collapsed="false">
      <c r="A197" s="11" t="n">
        <v>196</v>
      </c>
      <c r="B197" s="11" t="s">
        <v>2200</v>
      </c>
      <c r="C197" s="11" t="s">
        <v>13</v>
      </c>
      <c r="D197" s="11" t="s">
        <v>728</v>
      </c>
      <c r="E197" s="11" t="s">
        <v>1976</v>
      </c>
      <c r="F197" s="11" t="s">
        <v>1241</v>
      </c>
      <c r="G197" s="11" t="s">
        <v>1270</v>
      </c>
      <c r="H197" s="11" t="s">
        <v>2201</v>
      </c>
      <c r="I197" s="11" t="str">
        <f aca="false">IF(OR(G197="Gros",AND(H197&lt;&gt;"",S197="Oui")),"A",IF(OR(G197="Moyen",H197&lt;&gt;""),"B","C"))</f>
        <v>B</v>
      </c>
      <c r="J197" s="11" t="s">
        <v>2117</v>
      </c>
      <c r="K197" s="11"/>
      <c r="L197" s="12" t="s">
        <v>2202</v>
      </c>
      <c r="M197" s="11"/>
      <c r="N197" s="11"/>
      <c r="O197" s="11"/>
      <c r="P197" s="11"/>
      <c r="Q197" s="11"/>
      <c r="R197" s="12" t="s">
        <v>54</v>
      </c>
      <c r="S197" s="11"/>
      <c r="T197" s="11" t="s">
        <v>73</v>
      </c>
      <c r="U197" s="11" t="n">
        <f aca="false">COUNTA(K197:P197)</f>
        <v>1</v>
      </c>
      <c r="V197" s="11" t="s">
        <v>1980</v>
      </c>
      <c r="W197" s="13" t="s">
        <v>1981</v>
      </c>
    </row>
    <row r="198" customFormat="false" ht="15" hidden="false" customHeight="false" outlineLevel="0" collapsed="false">
      <c r="A198" s="11" t="n">
        <v>197</v>
      </c>
      <c r="B198" s="11" t="s">
        <v>2203</v>
      </c>
      <c r="C198" s="11" t="s">
        <v>13</v>
      </c>
      <c r="D198" s="11" t="s">
        <v>728</v>
      </c>
      <c r="E198" s="11" t="s">
        <v>2159</v>
      </c>
      <c r="F198" s="11" t="s">
        <v>452</v>
      </c>
      <c r="G198" s="11" t="s">
        <v>1270</v>
      </c>
      <c r="H198" s="11"/>
      <c r="I198" s="11" t="str">
        <f aca="false">IF(OR(G198="Gros",AND(H198&lt;&gt;"",S198="Oui")),"A",IF(OR(G198="Moyen",H198&lt;&gt;""),"B","C"))</f>
        <v>C</v>
      </c>
      <c r="J198" s="11" t="s">
        <v>2160</v>
      </c>
      <c r="K198" s="11"/>
      <c r="L198" s="11"/>
      <c r="M198" s="11"/>
      <c r="N198" s="11"/>
      <c r="O198" s="11"/>
      <c r="P198" s="11"/>
      <c r="Q198" s="11" t="s">
        <v>2204</v>
      </c>
      <c r="R198" s="11"/>
      <c r="S198" s="11"/>
      <c r="T198" s="11" t="s">
        <v>55</v>
      </c>
      <c r="U198" s="11" t="n">
        <f aca="false">COUNTA(K198:P198)</f>
        <v>0</v>
      </c>
      <c r="V198" s="11" t="s">
        <v>2162</v>
      </c>
      <c r="W198" s="13" t="s">
        <v>2163</v>
      </c>
    </row>
    <row r="199" customFormat="false" ht="15" hidden="false" customHeight="false" outlineLevel="0" collapsed="false">
      <c r="A199" s="11" t="n">
        <v>198</v>
      </c>
      <c r="B199" s="11" t="s">
        <v>2205</v>
      </c>
      <c r="C199" s="11" t="s">
        <v>13</v>
      </c>
      <c r="D199" s="11" t="s">
        <v>728</v>
      </c>
      <c r="E199" s="11" t="s">
        <v>728</v>
      </c>
      <c r="F199" s="11" t="s">
        <v>51</v>
      </c>
      <c r="G199" s="11" t="s">
        <v>1270</v>
      </c>
      <c r="H199" s="11"/>
      <c r="I199" s="11" t="str">
        <f aca="false">IF(OR(G199="Gros",AND(H199&lt;&gt;"",S199="Oui")),"A",IF(OR(G199="Moyen",H199&lt;&gt;""),"B","C"))</f>
        <v>C</v>
      </c>
      <c r="J199" s="11" t="s">
        <v>2206</v>
      </c>
      <c r="K199" s="11"/>
      <c r="L199" s="11"/>
      <c r="M199" s="12" t="s">
        <v>2207</v>
      </c>
      <c r="N199" s="11"/>
      <c r="O199" s="11"/>
      <c r="P199" s="11"/>
      <c r="Q199" s="11"/>
      <c r="R199" s="12" t="s">
        <v>54</v>
      </c>
      <c r="S199" s="11"/>
      <c r="T199" s="11" t="s">
        <v>55</v>
      </c>
      <c r="U199" s="11" t="n">
        <f aca="false">COUNTA(K199:P199)</f>
        <v>1</v>
      </c>
      <c r="V199" s="11" t="s">
        <v>2208</v>
      </c>
      <c r="W199" s="13" t="s">
        <v>2209</v>
      </c>
    </row>
    <row r="200" customFormat="false" ht="15" hidden="false" customHeight="false" outlineLevel="0" collapsed="false">
      <c r="A200" s="11" t="n">
        <v>199</v>
      </c>
      <c r="B200" s="11" t="s">
        <v>2210</v>
      </c>
      <c r="C200" s="11" t="s">
        <v>13</v>
      </c>
      <c r="D200" s="11" t="s">
        <v>728</v>
      </c>
      <c r="E200" s="11" t="s">
        <v>2211</v>
      </c>
      <c r="F200" s="11" t="s">
        <v>51</v>
      </c>
      <c r="G200" s="11" t="s">
        <v>1270</v>
      </c>
      <c r="H200" s="11"/>
      <c r="I200" s="11" t="str">
        <f aca="false">IF(OR(G200="Gros",AND(H200&lt;&gt;"",S200="Oui")),"A",IF(OR(G200="Moyen",H200&lt;&gt;""),"B","C"))</f>
        <v>C</v>
      </c>
      <c r="J200" s="11" t="s">
        <v>2212</v>
      </c>
      <c r="K200" s="11"/>
      <c r="L200" s="12" t="s">
        <v>2213</v>
      </c>
      <c r="M200" s="11"/>
      <c r="N200" s="11"/>
      <c r="O200" s="11"/>
      <c r="P200" s="11"/>
      <c r="Q200" s="11"/>
      <c r="R200" s="12" t="s">
        <v>54</v>
      </c>
      <c r="S200" s="11"/>
      <c r="T200" s="11" t="s">
        <v>55</v>
      </c>
      <c r="U200" s="11" t="n">
        <f aca="false">COUNTA(K200:P200)</f>
        <v>1</v>
      </c>
      <c r="V200" s="11" t="s">
        <v>2214</v>
      </c>
      <c r="W200" s="13" t="s">
        <v>2215</v>
      </c>
    </row>
    <row r="201" customFormat="false" ht="15" hidden="false" customHeight="false" outlineLevel="0" collapsed="false">
      <c r="A201" s="11" t="n">
        <v>200</v>
      </c>
      <c r="B201" s="11" t="s">
        <v>2216</v>
      </c>
      <c r="C201" s="11" t="s">
        <v>13</v>
      </c>
      <c r="D201" s="11" t="s">
        <v>728</v>
      </c>
      <c r="E201" s="11" t="s">
        <v>2003</v>
      </c>
      <c r="F201" s="11" t="s">
        <v>452</v>
      </c>
      <c r="G201" s="11" t="s">
        <v>1270</v>
      </c>
      <c r="H201" s="11" t="s">
        <v>2217</v>
      </c>
      <c r="I201" s="11" t="str">
        <f aca="false">IF(OR(G201="Gros",AND(H201&lt;&gt;"",S201="Oui")),"A",IF(OR(G201="Moyen",H201&lt;&gt;""),"B","C"))</f>
        <v>B</v>
      </c>
      <c r="J201" s="11" t="s">
        <v>2145</v>
      </c>
      <c r="K201" s="11"/>
      <c r="L201" s="11"/>
      <c r="M201" s="11"/>
      <c r="N201" s="11"/>
      <c r="O201" s="11"/>
      <c r="P201" s="11"/>
      <c r="Q201" s="11" t="s">
        <v>2135</v>
      </c>
      <c r="R201" s="11"/>
      <c r="S201" s="11"/>
      <c r="T201" s="11" t="s">
        <v>55</v>
      </c>
      <c r="U201" s="11" t="n">
        <f aca="false">COUNTA(K201:P201)</f>
        <v>0</v>
      </c>
      <c r="V201" s="11" t="s">
        <v>2218</v>
      </c>
      <c r="W201" s="13" t="s">
        <v>2147</v>
      </c>
    </row>
    <row r="202" customFormat="false" ht="15" hidden="false" customHeight="false" outlineLevel="0" collapsed="false">
      <c r="A202" s="11" t="n">
        <v>201</v>
      </c>
      <c r="B202" s="11" t="s">
        <v>2219</v>
      </c>
      <c r="C202" s="11" t="s">
        <v>13</v>
      </c>
      <c r="D202" s="11" t="s">
        <v>728</v>
      </c>
      <c r="E202" s="11" t="s">
        <v>1976</v>
      </c>
      <c r="F202" s="11" t="s">
        <v>1241</v>
      </c>
      <c r="G202" s="11" t="s">
        <v>1270</v>
      </c>
      <c r="H202" s="11" t="s">
        <v>2022</v>
      </c>
      <c r="I202" s="11" t="str">
        <f aca="false">IF(OR(G202="Gros",AND(H202&lt;&gt;"",S202="Oui")),"A",IF(OR(G202="Moyen",H202&lt;&gt;""),"B","C"))</f>
        <v>B</v>
      </c>
      <c r="J202" s="11" t="s">
        <v>2220</v>
      </c>
      <c r="K202" s="11"/>
      <c r="L202" s="12" t="s">
        <v>2221</v>
      </c>
      <c r="M202" s="11"/>
      <c r="N202" s="11"/>
      <c r="O202" s="11"/>
      <c r="P202" s="11"/>
      <c r="Q202" s="11"/>
      <c r="R202" s="12" t="s">
        <v>54</v>
      </c>
      <c r="S202" s="11"/>
      <c r="T202" s="11" t="s">
        <v>73</v>
      </c>
      <c r="U202" s="11" t="n">
        <f aca="false">COUNTA(K202:P202)</f>
        <v>1</v>
      </c>
      <c r="V202" s="11" t="s">
        <v>2001</v>
      </c>
      <c r="W202" s="13" t="s">
        <v>1981</v>
      </c>
    </row>
    <row r="203" customFormat="false" ht="15" hidden="false" customHeight="false" outlineLevel="0" collapsed="false">
      <c r="A203" s="11" t="n">
        <v>202</v>
      </c>
      <c r="B203" s="11" t="s">
        <v>2222</v>
      </c>
      <c r="C203" s="11" t="s">
        <v>13</v>
      </c>
      <c r="D203" s="11" t="s">
        <v>728</v>
      </c>
      <c r="E203" s="11" t="s">
        <v>2223</v>
      </c>
      <c r="F203" s="11" t="s">
        <v>51</v>
      </c>
      <c r="G203" s="11" t="s">
        <v>1270</v>
      </c>
      <c r="H203" s="11"/>
      <c r="I203" s="11" t="str">
        <f aca="false">IF(OR(G203="Gros",AND(H203&lt;&gt;"",S203="Oui")),"A",IF(OR(G203="Moyen",H203&lt;&gt;""),"B","C"))</f>
        <v>C</v>
      </c>
      <c r="J203" s="11" t="s">
        <v>1950</v>
      </c>
      <c r="K203" s="11"/>
      <c r="L203" s="11"/>
      <c r="M203" s="11"/>
      <c r="N203" s="11"/>
      <c r="O203" s="11" t="s">
        <v>2224</v>
      </c>
      <c r="P203" s="11"/>
      <c r="Q203" s="11"/>
      <c r="R203" s="12" t="s">
        <v>54</v>
      </c>
      <c r="S203" s="11"/>
      <c r="T203" s="11" t="s">
        <v>73</v>
      </c>
      <c r="U203" s="11" t="n">
        <f aca="false">COUNTA(K203:P203)</f>
        <v>1</v>
      </c>
      <c r="V203" s="11" t="s">
        <v>2100</v>
      </c>
      <c r="W203" s="13" t="s">
        <v>1987</v>
      </c>
    </row>
    <row r="204" customFormat="false" ht="15" hidden="false" customHeight="false" outlineLevel="0" collapsed="false">
      <c r="A204" s="11" t="n">
        <v>203</v>
      </c>
      <c r="B204" s="11" t="s">
        <v>2225</v>
      </c>
      <c r="C204" s="11" t="s">
        <v>13</v>
      </c>
      <c r="D204" s="11" t="s">
        <v>728</v>
      </c>
      <c r="E204" s="11" t="s">
        <v>2226</v>
      </c>
      <c r="F204" s="11" t="s">
        <v>51</v>
      </c>
      <c r="G204" s="11" t="s">
        <v>1270</v>
      </c>
      <c r="H204" s="11"/>
      <c r="I204" s="11" t="str">
        <f aca="false">IF(OR(G204="Gros",AND(H204&lt;&gt;"",S204="Oui")),"A",IF(OR(G204="Moyen",H204&lt;&gt;""),"B","C"))</f>
        <v>C</v>
      </c>
      <c r="J204" s="11" t="s">
        <v>2227</v>
      </c>
      <c r="K204" s="11"/>
      <c r="L204" s="11"/>
      <c r="M204" s="11"/>
      <c r="N204" s="11"/>
      <c r="O204" s="11" t="s">
        <v>2228</v>
      </c>
      <c r="P204" s="11"/>
      <c r="Q204" s="11"/>
      <c r="R204" s="12" t="s">
        <v>54</v>
      </c>
      <c r="S204" s="11"/>
      <c r="T204" s="11" t="s">
        <v>73</v>
      </c>
      <c r="U204" s="11" t="n">
        <f aca="false">COUNTA(K204:P204)</f>
        <v>1</v>
      </c>
      <c r="V204" s="11" t="s">
        <v>2157</v>
      </c>
      <c r="W204" s="13" t="s">
        <v>1987</v>
      </c>
    </row>
    <row r="205" customFormat="false" ht="15" hidden="false" customHeight="false" outlineLevel="0" collapsed="false">
      <c r="A205" s="11" t="n">
        <v>204</v>
      </c>
      <c r="B205" s="11" t="s">
        <v>2229</v>
      </c>
      <c r="C205" s="11" t="s">
        <v>13</v>
      </c>
      <c r="D205" s="11" t="s">
        <v>728</v>
      </c>
      <c r="E205" s="11" t="s">
        <v>2230</v>
      </c>
      <c r="F205" s="11" t="s">
        <v>51</v>
      </c>
      <c r="G205" s="11" t="s">
        <v>1402</v>
      </c>
      <c r="H205" s="11"/>
      <c r="I205" s="11" t="str">
        <f aca="false">IF(OR(G205="Gros",AND(H205&lt;&gt;"",S205="Oui")),"A",IF(OR(G205="Moyen",H205&lt;&gt;""),"B","C"))</f>
        <v>C</v>
      </c>
      <c r="J205" s="11" t="s">
        <v>1950</v>
      </c>
      <c r="K205" s="11"/>
      <c r="L205" s="11"/>
      <c r="M205" s="11"/>
      <c r="N205" s="11"/>
      <c r="O205" s="11"/>
      <c r="P205" s="11"/>
      <c r="Q205" s="11"/>
      <c r="R205" s="12" t="s">
        <v>54</v>
      </c>
      <c r="S205" s="11"/>
      <c r="T205" s="11" t="s">
        <v>73</v>
      </c>
      <c r="U205" s="11" t="n">
        <f aca="false">COUNTA(K205:P205)</f>
        <v>0</v>
      </c>
      <c r="V205" s="11" t="s">
        <v>2231</v>
      </c>
      <c r="W205" s="13" t="s">
        <v>1987</v>
      </c>
    </row>
    <row r="206" customFormat="false" ht="15" hidden="false" customHeight="false" outlineLevel="0" collapsed="false">
      <c r="A206" s="11" t="n">
        <v>205</v>
      </c>
      <c r="B206" s="11" t="s">
        <v>2232</v>
      </c>
      <c r="C206" s="11" t="s">
        <v>13</v>
      </c>
      <c r="D206" s="11" t="s">
        <v>728</v>
      </c>
      <c r="E206" s="11" t="s">
        <v>728</v>
      </c>
      <c r="F206" s="11" t="s">
        <v>122</v>
      </c>
      <c r="G206" s="11" t="s">
        <v>1402</v>
      </c>
      <c r="H206" s="11" t="s">
        <v>2233</v>
      </c>
      <c r="I206" s="11" t="str">
        <f aca="false">IF(OR(G206="Gros",AND(H206&lt;&gt;"",S206="Oui")),"A",IF(OR(G206="Moyen",H206&lt;&gt;""),"B","C"))</f>
        <v>B</v>
      </c>
      <c r="J206" s="11" t="s">
        <v>2234</v>
      </c>
      <c r="K206" s="11"/>
      <c r="L206" s="11"/>
      <c r="M206" s="11"/>
      <c r="N206" s="11"/>
      <c r="O206" s="11"/>
      <c r="P206" s="11"/>
      <c r="Q206" s="11"/>
      <c r="R206" s="12" t="s">
        <v>54</v>
      </c>
      <c r="S206" s="11"/>
      <c r="T206" s="11" t="s">
        <v>73</v>
      </c>
      <c r="U206" s="11" t="n">
        <f aca="false">COUNTA(K206:P206)</f>
        <v>0</v>
      </c>
      <c r="V206" s="11" t="s">
        <v>2235</v>
      </c>
      <c r="W206" s="13" t="s">
        <v>2236</v>
      </c>
    </row>
    <row r="207" customFormat="false" ht="15" hidden="false" customHeight="false" outlineLevel="0" collapsed="false">
      <c r="A207" s="11" t="n">
        <v>206</v>
      </c>
      <c r="B207" s="11" t="s">
        <v>2237</v>
      </c>
      <c r="C207" s="11" t="s">
        <v>13</v>
      </c>
      <c r="D207" s="11" t="s">
        <v>728</v>
      </c>
      <c r="E207" s="11" t="s">
        <v>2238</v>
      </c>
      <c r="F207" s="11" t="s">
        <v>51</v>
      </c>
      <c r="G207" s="11" t="s">
        <v>1402</v>
      </c>
      <c r="H207" s="11"/>
      <c r="I207" s="11" t="str">
        <f aca="false">IF(OR(G207="Gros",AND(H207&lt;&gt;"",S207="Oui")),"A",IF(OR(G207="Moyen",H207&lt;&gt;""),"B","C"))</f>
        <v>C</v>
      </c>
      <c r="J207" s="11" t="s">
        <v>1355</v>
      </c>
      <c r="K207" s="11"/>
      <c r="L207" s="11"/>
      <c r="M207" s="11"/>
      <c r="N207" s="11"/>
      <c r="O207" s="11"/>
      <c r="P207" s="11"/>
      <c r="Q207" s="11"/>
      <c r="R207" s="12" t="s">
        <v>54</v>
      </c>
      <c r="S207" s="11"/>
      <c r="T207" s="11" t="s">
        <v>55</v>
      </c>
      <c r="U207" s="11" t="n">
        <f aca="false">COUNTA(K207:P207)</f>
        <v>0</v>
      </c>
      <c r="V207" s="11" t="s">
        <v>2239</v>
      </c>
      <c r="W207" s="13" t="s">
        <v>2240</v>
      </c>
    </row>
    <row r="208" customFormat="false" ht="15" hidden="false" customHeight="false" outlineLevel="0" collapsed="false">
      <c r="A208" s="11" t="n">
        <v>207</v>
      </c>
      <c r="B208" s="11" t="s">
        <v>2241</v>
      </c>
      <c r="C208" s="11" t="s">
        <v>13</v>
      </c>
      <c r="D208" s="11" t="s">
        <v>728</v>
      </c>
      <c r="E208" s="11" t="s">
        <v>2242</v>
      </c>
      <c r="F208" s="11" t="s">
        <v>51</v>
      </c>
      <c r="G208" s="11" t="s">
        <v>1402</v>
      </c>
      <c r="H208" s="11"/>
      <c r="I208" s="11" t="str">
        <f aca="false">IF(OR(G208="Gros",AND(H208&lt;&gt;"",S208="Oui")),"A",IF(OR(G208="Moyen",H208&lt;&gt;""),"B","C"))</f>
        <v>C</v>
      </c>
      <c r="J208" s="11" t="s">
        <v>1355</v>
      </c>
      <c r="K208" s="11"/>
      <c r="L208" s="11"/>
      <c r="M208" s="11"/>
      <c r="N208" s="11"/>
      <c r="O208" s="11"/>
      <c r="P208" s="11"/>
      <c r="Q208" s="11"/>
      <c r="R208" s="12" t="s">
        <v>54</v>
      </c>
      <c r="S208" s="11"/>
      <c r="T208" s="11" t="s">
        <v>55</v>
      </c>
      <c r="U208" s="11" t="n">
        <f aca="false">COUNTA(K208:P208)</f>
        <v>0</v>
      </c>
      <c r="V208" s="11" t="s">
        <v>2239</v>
      </c>
      <c r="W208" s="13" t="s">
        <v>2240</v>
      </c>
    </row>
    <row r="209" customFormat="false" ht="15" hidden="false" customHeight="false" outlineLevel="0" collapsed="false">
      <c r="A209" s="11" t="n">
        <v>208</v>
      </c>
      <c r="B209" s="11" t="s">
        <v>2243</v>
      </c>
      <c r="C209" s="11" t="s">
        <v>13</v>
      </c>
      <c r="D209" s="11" t="s">
        <v>728</v>
      </c>
      <c r="E209" s="11" t="s">
        <v>2244</v>
      </c>
      <c r="F209" s="11" t="s">
        <v>51</v>
      </c>
      <c r="G209" s="11" t="s">
        <v>1402</v>
      </c>
      <c r="H209" s="11"/>
      <c r="I209" s="11" t="str">
        <f aca="false">IF(OR(G209="Gros",AND(H209&lt;&gt;"",S209="Oui")),"A",IF(OR(G209="Moyen",H209&lt;&gt;""),"B","C"))</f>
        <v>C</v>
      </c>
      <c r="J209" s="11" t="s">
        <v>2245</v>
      </c>
      <c r="K209" s="11"/>
      <c r="L209" s="11"/>
      <c r="M209" s="11"/>
      <c r="N209" s="11"/>
      <c r="O209" s="11"/>
      <c r="P209" s="11"/>
      <c r="Q209" s="11"/>
      <c r="R209" s="12" t="s">
        <v>54</v>
      </c>
      <c r="S209" s="11"/>
      <c r="T209" s="11" t="s">
        <v>73</v>
      </c>
      <c r="U209" s="11" t="n">
        <f aca="false">COUNTA(K209:P209)</f>
        <v>0</v>
      </c>
      <c r="V209" s="11" t="s">
        <v>2246</v>
      </c>
      <c r="W209" s="13" t="s">
        <v>1987</v>
      </c>
    </row>
    <row r="210" customFormat="false" ht="15" hidden="false" customHeight="false" outlineLevel="0" collapsed="false">
      <c r="A210" s="11" t="n">
        <v>209</v>
      </c>
      <c r="B210" s="11" t="s">
        <v>2247</v>
      </c>
      <c r="C210" s="11" t="s">
        <v>13</v>
      </c>
      <c r="D210" s="11" t="s">
        <v>728</v>
      </c>
      <c r="E210" s="11" t="s">
        <v>728</v>
      </c>
      <c r="F210" s="11" t="s">
        <v>51</v>
      </c>
      <c r="G210" s="11" t="s">
        <v>1402</v>
      </c>
      <c r="H210" s="11" t="s">
        <v>2248</v>
      </c>
      <c r="I210" s="11" t="str">
        <f aca="false">IF(OR(G210="Gros",AND(H210&lt;&gt;"",S210="Oui")),"A",IF(OR(G210="Moyen",H210&lt;&gt;""),"B","C"))</f>
        <v>B</v>
      </c>
      <c r="J210" s="11" t="s">
        <v>2117</v>
      </c>
      <c r="K210" s="11"/>
      <c r="L210" s="11"/>
      <c r="M210" s="11"/>
      <c r="N210" s="11"/>
      <c r="O210" s="11"/>
      <c r="P210" s="11"/>
      <c r="Q210" s="11"/>
      <c r="R210" s="12" t="s">
        <v>54</v>
      </c>
      <c r="S210" s="11"/>
      <c r="T210" s="11" t="s">
        <v>55</v>
      </c>
      <c r="U210" s="11" t="n">
        <f aca="false">COUNTA(K210:P210)</f>
        <v>0</v>
      </c>
      <c r="V210" s="11" t="s">
        <v>2249</v>
      </c>
      <c r="W210" s="13" t="s">
        <v>2250</v>
      </c>
    </row>
    <row r="211" customFormat="false" ht="15" hidden="false" customHeight="false" outlineLevel="0" collapsed="false">
      <c r="A211" s="11" t="n">
        <v>210</v>
      </c>
      <c r="B211" s="11" t="s">
        <v>2251</v>
      </c>
      <c r="C211" s="11" t="s">
        <v>13</v>
      </c>
      <c r="D211" s="11" t="s">
        <v>728</v>
      </c>
      <c r="E211" s="11" t="s">
        <v>2079</v>
      </c>
      <c r="F211" s="11" t="s">
        <v>51</v>
      </c>
      <c r="G211" s="11" t="s">
        <v>1402</v>
      </c>
      <c r="H211" s="11"/>
      <c r="I211" s="11" t="str">
        <f aca="false">IF(OR(G211="Gros",AND(H211&lt;&gt;"",S211="Oui")),"A",IF(OR(G211="Moyen",H211&lt;&gt;""),"B","C"))</f>
        <v>C</v>
      </c>
      <c r="J211" s="11" t="s">
        <v>1355</v>
      </c>
      <c r="K211" s="11"/>
      <c r="L211" s="11"/>
      <c r="M211" s="11"/>
      <c r="N211" s="11"/>
      <c r="O211" s="11"/>
      <c r="P211" s="11"/>
      <c r="Q211" s="11"/>
      <c r="R211" s="12" t="s">
        <v>54</v>
      </c>
      <c r="S211" s="11"/>
      <c r="T211" s="11" t="s">
        <v>55</v>
      </c>
      <c r="U211" s="11" t="n">
        <f aca="false">COUNTA(K211:P211)</f>
        <v>0</v>
      </c>
      <c r="V211" s="11" t="s">
        <v>2252</v>
      </c>
      <c r="W211" s="13" t="s">
        <v>2240</v>
      </c>
    </row>
    <row r="212" customFormat="false" ht="15" hidden="false" customHeight="false" outlineLevel="0" collapsed="false">
      <c r="A212" s="11" t="n">
        <v>211</v>
      </c>
      <c r="B212" s="11" t="s">
        <v>2253</v>
      </c>
      <c r="C212" s="11" t="s">
        <v>14</v>
      </c>
      <c r="D212" s="11" t="s">
        <v>980</v>
      </c>
      <c r="E212" s="11"/>
      <c r="F212" s="11" t="s">
        <v>290</v>
      </c>
      <c r="G212" s="11" t="s">
        <v>1179</v>
      </c>
      <c r="H212" s="11" t="s">
        <v>2254</v>
      </c>
      <c r="I212" s="11" t="str">
        <f aca="false">IF(OR(G212="Gros",AND(H212&lt;&gt;"",S212="Oui")),"A",IF(OR(G212="Moyen",H212&lt;&gt;""),"B","C"))</f>
        <v>A</v>
      </c>
      <c r="J212" s="11" t="s">
        <v>2255</v>
      </c>
      <c r="K212" s="11"/>
      <c r="L212" s="12" t="s">
        <v>2256</v>
      </c>
      <c r="M212" s="11"/>
      <c r="N212" s="11"/>
      <c r="O212" s="11"/>
      <c r="P212" s="11"/>
      <c r="Q212" s="11"/>
      <c r="R212" s="11"/>
      <c r="S212" s="11"/>
      <c r="T212" s="11" t="s">
        <v>73</v>
      </c>
      <c r="U212" s="11" t="n">
        <f aca="false">COUNTA(K212:P212)</f>
        <v>1</v>
      </c>
      <c r="V212" s="11" t="s">
        <v>2257</v>
      </c>
      <c r="W212" s="13" t="s">
        <v>2258</v>
      </c>
    </row>
    <row r="213" customFormat="false" ht="15" hidden="false" customHeight="false" outlineLevel="0" collapsed="false">
      <c r="A213" s="11" t="n">
        <v>212</v>
      </c>
      <c r="B213" s="11" t="s">
        <v>2259</v>
      </c>
      <c r="C213" s="11" t="s">
        <v>14</v>
      </c>
      <c r="D213" s="11" t="s">
        <v>980</v>
      </c>
      <c r="E213" s="11"/>
      <c r="F213" s="11" t="s">
        <v>321</v>
      </c>
      <c r="G213" s="11" t="s">
        <v>1179</v>
      </c>
      <c r="H213" s="11"/>
      <c r="I213" s="11" t="str">
        <f aca="false">IF(OR(G213="Gros",AND(H213&lt;&gt;"",S213="Oui")),"A",IF(OR(G213="Moyen",H213&lt;&gt;""),"B","C"))</f>
        <v>A</v>
      </c>
      <c r="J213" s="11" t="s">
        <v>2260</v>
      </c>
      <c r="K213" s="11"/>
      <c r="L213" s="11"/>
      <c r="M213" s="11"/>
      <c r="N213" s="11"/>
      <c r="O213" s="11"/>
      <c r="P213" s="11"/>
      <c r="Q213" s="11"/>
      <c r="R213" s="12" t="s">
        <v>54</v>
      </c>
      <c r="S213" s="11"/>
      <c r="T213" s="11" t="s">
        <v>55</v>
      </c>
      <c r="U213" s="11" t="n">
        <f aca="false">COUNTA(K213:P213)</f>
        <v>0</v>
      </c>
      <c r="V213" s="11" t="s">
        <v>2261</v>
      </c>
      <c r="W213" s="13" t="s">
        <v>2262</v>
      </c>
    </row>
    <row r="214" customFormat="false" ht="15" hidden="false" customHeight="false" outlineLevel="0" collapsed="false">
      <c r="A214" s="11" t="n">
        <v>213</v>
      </c>
      <c r="B214" s="11" t="s">
        <v>2263</v>
      </c>
      <c r="C214" s="11" t="s">
        <v>14</v>
      </c>
      <c r="D214" s="11" t="s">
        <v>2264</v>
      </c>
      <c r="E214" s="11"/>
      <c r="F214" s="11" t="s">
        <v>452</v>
      </c>
      <c r="G214" s="11" t="s">
        <v>1179</v>
      </c>
      <c r="H214" s="11" t="s">
        <v>2265</v>
      </c>
      <c r="I214" s="11" t="str">
        <f aca="false">IF(OR(G214="Gros",AND(H214&lt;&gt;"",S214="Oui")),"A",IF(OR(G214="Moyen",H214&lt;&gt;""),"B","C"))</f>
        <v>A</v>
      </c>
      <c r="J214" s="11" t="s">
        <v>2266</v>
      </c>
      <c r="K214" s="11"/>
      <c r="L214" s="11"/>
      <c r="M214" s="11"/>
      <c r="N214" s="11"/>
      <c r="O214" s="11"/>
      <c r="P214" s="11"/>
      <c r="Q214" s="11" t="s">
        <v>2267</v>
      </c>
      <c r="R214" s="11"/>
      <c r="S214" s="11"/>
      <c r="T214" s="11" t="s">
        <v>73</v>
      </c>
      <c r="U214" s="11" t="n">
        <f aca="false">COUNTA(K214:P214)</f>
        <v>0</v>
      </c>
      <c r="V214" s="11" t="s">
        <v>2268</v>
      </c>
      <c r="W214" s="13" t="s">
        <v>2269</v>
      </c>
    </row>
    <row r="215" customFormat="false" ht="15" hidden="false" customHeight="false" outlineLevel="0" collapsed="false">
      <c r="A215" s="11" t="n">
        <v>214</v>
      </c>
      <c r="B215" s="11" t="s">
        <v>2270</v>
      </c>
      <c r="C215" s="11" t="s">
        <v>14</v>
      </c>
      <c r="D215" s="11" t="s">
        <v>2264</v>
      </c>
      <c r="E215" s="11"/>
      <c r="F215" s="11" t="s">
        <v>452</v>
      </c>
      <c r="G215" s="11" t="s">
        <v>1179</v>
      </c>
      <c r="H215" s="11"/>
      <c r="I215" s="11" t="str">
        <f aca="false">IF(OR(G215="Gros",AND(H215&lt;&gt;"",S215="Oui")),"A",IF(OR(G215="Moyen",H215&lt;&gt;""),"B","C"))</f>
        <v>A</v>
      </c>
      <c r="J215" s="11" t="s">
        <v>2271</v>
      </c>
      <c r="K215" s="11"/>
      <c r="L215" s="11"/>
      <c r="M215" s="11"/>
      <c r="N215" s="11"/>
      <c r="O215" s="11"/>
      <c r="P215" s="11"/>
      <c r="Q215" s="11" t="s">
        <v>2272</v>
      </c>
      <c r="R215" s="11"/>
      <c r="S215" s="11"/>
      <c r="T215" s="11" t="s">
        <v>55</v>
      </c>
      <c r="U215" s="11" t="n">
        <f aca="false">COUNTA(K215:P215)</f>
        <v>0</v>
      </c>
      <c r="V215" s="11" t="s">
        <v>2273</v>
      </c>
      <c r="W215" s="13" t="s">
        <v>2274</v>
      </c>
    </row>
    <row r="216" customFormat="false" ht="15" hidden="false" customHeight="false" outlineLevel="0" collapsed="false">
      <c r="A216" s="11" t="n">
        <v>215</v>
      </c>
      <c r="B216" s="11" t="s">
        <v>2275</v>
      </c>
      <c r="C216" s="11" t="s">
        <v>14</v>
      </c>
      <c r="D216" s="11" t="s">
        <v>2276</v>
      </c>
      <c r="E216" s="11" t="s">
        <v>2277</v>
      </c>
      <c r="F216" s="11" t="s">
        <v>321</v>
      </c>
      <c r="G216" s="11" t="s">
        <v>1179</v>
      </c>
      <c r="H216" s="11"/>
      <c r="I216" s="11" t="str">
        <f aca="false">IF(OR(G216="Gros",AND(H216&lt;&gt;"",S216="Oui")),"A",IF(OR(G216="Moyen",H216&lt;&gt;""),"B","C"))</f>
        <v>A</v>
      </c>
      <c r="J216" s="11" t="s">
        <v>2278</v>
      </c>
      <c r="K216" s="12" t="s">
        <v>2279</v>
      </c>
      <c r="L216" s="11"/>
      <c r="M216" s="11"/>
      <c r="N216" s="11"/>
      <c r="O216" s="11"/>
      <c r="P216" s="11"/>
      <c r="Q216" s="11" t="s">
        <v>2280</v>
      </c>
      <c r="R216" s="12" t="s">
        <v>54</v>
      </c>
      <c r="S216" s="11"/>
      <c r="T216" s="11" t="s">
        <v>55</v>
      </c>
      <c r="U216" s="11" t="n">
        <f aca="false">COUNTA(K216:P216)</f>
        <v>1</v>
      </c>
      <c r="V216" s="11" t="s">
        <v>2281</v>
      </c>
      <c r="W216" s="13" t="s">
        <v>2282</v>
      </c>
    </row>
    <row r="217" customFormat="false" ht="15" hidden="false" customHeight="false" outlineLevel="0" collapsed="false">
      <c r="A217" s="11" t="n">
        <v>216</v>
      </c>
      <c r="B217" s="11" t="s">
        <v>2283</v>
      </c>
      <c r="C217" s="11" t="s">
        <v>14</v>
      </c>
      <c r="D217" s="11" t="s">
        <v>938</v>
      </c>
      <c r="E217" s="11" t="s">
        <v>2284</v>
      </c>
      <c r="F217" s="11" t="s">
        <v>122</v>
      </c>
      <c r="G217" s="11" t="s">
        <v>1228</v>
      </c>
      <c r="H217" s="11" t="s">
        <v>2285</v>
      </c>
      <c r="I217" s="11" t="str">
        <f aca="false">IF(OR(G217="Gros",AND(H217&lt;&gt;"",S217="Oui")),"A",IF(OR(G217="Moyen",H217&lt;&gt;""),"B","C"))</f>
        <v>B</v>
      </c>
      <c r="J217" s="11" t="s">
        <v>2286</v>
      </c>
      <c r="K217" s="11"/>
      <c r="L217" s="12" t="s">
        <v>2287</v>
      </c>
      <c r="M217" s="11"/>
      <c r="N217" s="12" t="s">
        <v>2288</v>
      </c>
      <c r="O217" s="11"/>
      <c r="P217" s="11"/>
      <c r="Q217" s="11" t="s">
        <v>2289</v>
      </c>
      <c r="R217" s="12" t="s">
        <v>54</v>
      </c>
      <c r="S217" s="11"/>
      <c r="T217" s="11" t="s">
        <v>73</v>
      </c>
      <c r="U217" s="11" t="n">
        <f aca="false">COUNTA(K217:P217)</f>
        <v>2</v>
      </c>
      <c r="V217" s="11" t="s">
        <v>2290</v>
      </c>
      <c r="W217" s="13" t="s">
        <v>2291</v>
      </c>
    </row>
    <row r="218" customFormat="false" ht="15" hidden="false" customHeight="false" outlineLevel="0" collapsed="false">
      <c r="A218" s="11" t="n">
        <v>217</v>
      </c>
      <c r="B218" s="11" t="s">
        <v>2292</v>
      </c>
      <c r="C218" s="11" t="s">
        <v>14</v>
      </c>
      <c r="D218" s="11" t="s">
        <v>2293</v>
      </c>
      <c r="E218" s="11"/>
      <c r="F218" s="11" t="s">
        <v>452</v>
      </c>
      <c r="G218" s="11" t="s">
        <v>1228</v>
      </c>
      <c r="H218" s="11"/>
      <c r="I218" s="11" t="str">
        <f aca="false">IF(OR(G218="Gros",AND(H218&lt;&gt;"",S218="Oui")),"A",IF(OR(G218="Moyen",H218&lt;&gt;""),"B","C"))</f>
        <v>B</v>
      </c>
      <c r="J218" s="11" t="s">
        <v>2294</v>
      </c>
      <c r="K218" s="11"/>
      <c r="L218" s="11"/>
      <c r="M218" s="11"/>
      <c r="N218" s="11"/>
      <c r="O218" s="11"/>
      <c r="P218" s="11"/>
      <c r="Q218" s="11" t="s">
        <v>2295</v>
      </c>
      <c r="R218" s="11"/>
      <c r="S218" s="11"/>
      <c r="T218" s="11" t="s">
        <v>55</v>
      </c>
      <c r="U218" s="11" t="n">
        <f aca="false">COUNTA(K218:P218)</f>
        <v>0</v>
      </c>
      <c r="V218" s="11" t="s">
        <v>2296</v>
      </c>
      <c r="W218" s="13" t="s">
        <v>2297</v>
      </c>
    </row>
    <row r="219" customFormat="false" ht="15" hidden="false" customHeight="false" outlineLevel="0" collapsed="false">
      <c r="A219" s="11" t="n">
        <v>218</v>
      </c>
      <c r="B219" s="11" t="s">
        <v>2298</v>
      </c>
      <c r="C219" s="11" t="s">
        <v>14</v>
      </c>
      <c r="D219" s="11" t="s">
        <v>980</v>
      </c>
      <c r="E219" s="11"/>
      <c r="F219" s="11" t="s">
        <v>389</v>
      </c>
      <c r="G219" s="11" t="s">
        <v>1228</v>
      </c>
      <c r="H219" s="11" t="s">
        <v>2299</v>
      </c>
      <c r="I219" s="11" t="str">
        <f aca="false">IF(OR(G219="Gros",AND(H219&lt;&gt;"",S219="Oui")),"A",IF(OR(G219="Moyen",H219&lt;&gt;""),"B","C"))</f>
        <v>B</v>
      </c>
      <c r="J219" s="11" t="s">
        <v>2300</v>
      </c>
      <c r="K219" s="12" t="s">
        <v>2301</v>
      </c>
      <c r="L219" s="11"/>
      <c r="M219" s="11"/>
      <c r="N219" s="11"/>
      <c r="O219" s="11"/>
      <c r="P219" s="11"/>
      <c r="Q219" s="11" t="s">
        <v>1123</v>
      </c>
      <c r="R219" s="11"/>
      <c r="S219" s="11"/>
      <c r="T219" s="11" t="s">
        <v>55</v>
      </c>
      <c r="U219" s="11" t="n">
        <f aca="false">COUNTA(K219:P219)</f>
        <v>1</v>
      </c>
      <c r="V219" s="11" t="s">
        <v>2302</v>
      </c>
      <c r="W219" s="13" t="s">
        <v>2301</v>
      </c>
    </row>
    <row r="220" customFormat="false" ht="15" hidden="false" customHeight="false" outlineLevel="0" collapsed="false">
      <c r="A220" s="11" t="n">
        <v>219</v>
      </c>
      <c r="B220" s="11" t="s">
        <v>2303</v>
      </c>
      <c r="C220" s="11" t="s">
        <v>14</v>
      </c>
      <c r="D220" s="11" t="s">
        <v>980</v>
      </c>
      <c r="E220" s="11"/>
      <c r="F220" s="11" t="s">
        <v>122</v>
      </c>
      <c r="G220" s="11" t="s">
        <v>1228</v>
      </c>
      <c r="H220" s="11" t="s">
        <v>2304</v>
      </c>
      <c r="I220" s="11" t="str">
        <f aca="false">IF(OR(G220="Gros",AND(H220&lt;&gt;"",S220="Oui")),"A",IF(OR(G220="Moyen",H220&lt;&gt;""),"B","C"))</f>
        <v>B</v>
      </c>
      <c r="J220" s="11" t="s">
        <v>2305</v>
      </c>
      <c r="K220" s="11"/>
      <c r="L220" s="12" t="s">
        <v>2306</v>
      </c>
      <c r="M220" s="11"/>
      <c r="N220" s="11"/>
      <c r="O220" s="11" t="s">
        <v>2307</v>
      </c>
      <c r="P220" s="11"/>
      <c r="Q220" s="11"/>
      <c r="R220" s="12" t="s">
        <v>54</v>
      </c>
      <c r="S220" s="11"/>
      <c r="T220" s="11" t="s">
        <v>73</v>
      </c>
      <c r="U220" s="11" t="n">
        <f aca="false">COUNTA(K220:P220)</f>
        <v>2</v>
      </c>
      <c r="V220" s="11" t="s">
        <v>2308</v>
      </c>
      <c r="W220" s="13" t="s">
        <v>2309</v>
      </c>
    </row>
    <row r="221" customFormat="false" ht="15" hidden="false" customHeight="false" outlineLevel="0" collapsed="false">
      <c r="A221" s="11" t="n">
        <v>220</v>
      </c>
      <c r="B221" s="11" t="s">
        <v>2310</v>
      </c>
      <c r="C221" s="11" t="s">
        <v>14</v>
      </c>
      <c r="D221" s="11" t="s">
        <v>2311</v>
      </c>
      <c r="E221" s="11"/>
      <c r="F221" s="11" t="s">
        <v>452</v>
      </c>
      <c r="G221" s="11" t="s">
        <v>1228</v>
      </c>
      <c r="H221" s="11" t="s">
        <v>2312</v>
      </c>
      <c r="I221" s="11" t="str">
        <f aca="false">IF(OR(G221="Gros",AND(H221&lt;&gt;"",S221="Oui")),"A",IF(OR(G221="Moyen",H221&lt;&gt;""),"B","C"))</f>
        <v>B</v>
      </c>
      <c r="J221" s="11" t="s">
        <v>2313</v>
      </c>
      <c r="K221" s="11"/>
      <c r="L221" s="11"/>
      <c r="M221" s="11"/>
      <c r="N221" s="11"/>
      <c r="O221" s="11"/>
      <c r="P221" s="11"/>
      <c r="Q221" s="11" t="s">
        <v>1123</v>
      </c>
      <c r="R221" s="11"/>
      <c r="S221" s="11"/>
      <c r="T221" s="11" t="s">
        <v>73</v>
      </c>
      <c r="U221" s="11" t="n">
        <f aca="false">COUNTA(K221:P221)</f>
        <v>0</v>
      </c>
      <c r="V221" s="11" t="s">
        <v>2314</v>
      </c>
      <c r="W221" s="13" t="s">
        <v>2315</v>
      </c>
    </row>
    <row r="222" customFormat="false" ht="15" hidden="false" customHeight="false" outlineLevel="0" collapsed="false">
      <c r="A222" s="11" t="n">
        <v>221</v>
      </c>
      <c r="B222" s="11" t="s">
        <v>2316</v>
      </c>
      <c r="C222" s="11" t="s">
        <v>14</v>
      </c>
      <c r="D222" s="11" t="s">
        <v>2264</v>
      </c>
      <c r="E222" s="11"/>
      <c r="F222" s="11" t="s">
        <v>452</v>
      </c>
      <c r="G222" s="11" t="s">
        <v>1228</v>
      </c>
      <c r="H222" s="11" t="s">
        <v>2317</v>
      </c>
      <c r="I222" s="11" t="str">
        <f aca="false">IF(OR(G222="Gros",AND(H222&lt;&gt;"",S222="Oui")),"A",IF(OR(G222="Moyen",H222&lt;&gt;""),"B","C"))</f>
        <v>B</v>
      </c>
      <c r="J222" s="11" t="s">
        <v>2318</v>
      </c>
      <c r="K222" s="11"/>
      <c r="L222" s="12" t="s">
        <v>2319</v>
      </c>
      <c r="M222" s="11"/>
      <c r="N222" s="11"/>
      <c r="O222" s="11"/>
      <c r="P222" s="11"/>
      <c r="Q222" s="11" t="s">
        <v>2320</v>
      </c>
      <c r="R222" s="11"/>
      <c r="S222" s="11"/>
      <c r="T222" s="11" t="s">
        <v>73</v>
      </c>
      <c r="U222" s="11" t="n">
        <f aca="false">COUNTA(K222:P222)</f>
        <v>1</v>
      </c>
      <c r="V222" s="11" t="s">
        <v>2321</v>
      </c>
      <c r="W222" s="13" t="s">
        <v>2322</v>
      </c>
    </row>
    <row r="223" customFormat="false" ht="15" hidden="false" customHeight="false" outlineLevel="0" collapsed="false">
      <c r="A223" s="11" t="n">
        <v>222</v>
      </c>
      <c r="B223" s="11" t="s">
        <v>2323</v>
      </c>
      <c r="C223" s="11" t="s">
        <v>14</v>
      </c>
      <c r="D223" s="11" t="s">
        <v>2264</v>
      </c>
      <c r="E223" s="11" t="s">
        <v>2324</v>
      </c>
      <c r="F223" s="11" t="s">
        <v>133</v>
      </c>
      <c r="G223" s="11" t="s">
        <v>1228</v>
      </c>
      <c r="H223" s="11"/>
      <c r="I223" s="11" t="str">
        <f aca="false">IF(OR(G223="Gros",AND(H223&lt;&gt;"",S223="Oui")),"A",IF(OR(G223="Moyen",H223&lt;&gt;""),"B","C"))</f>
        <v>B</v>
      </c>
      <c r="J223" s="11" t="s">
        <v>2325</v>
      </c>
      <c r="K223" s="11"/>
      <c r="L223" s="12" t="s">
        <v>2326</v>
      </c>
      <c r="M223" s="11"/>
      <c r="N223" s="11"/>
      <c r="O223" s="11"/>
      <c r="P223" s="11"/>
      <c r="Q223" s="11"/>
      <c r="R223" s="11"/>
      <c r="S223" s="11"/>
      <c r="T223" s="11" t="s">
        <v>55</v>
      </c>
      <c r="U223" s="11" t="n">
        <f aca="false">COUNTA(K223:P223)</f>
        <v>1</v>
      </c>
      <c r="V223" s="11" t="s">
        <v>2327</v>
      </c>
      <c r="W223" s="13" t="s">
        <v>2328</v>
      </c>
    </row>
    <row r="224" customFormat="false" ht="15" hidden="false" customHeight="false" outlineLevel="0" collapsed="false">
      <c r="A224" s="11" t="n">
        <v>223</v>
      </c>
      <c r="B224" s="11" t="s">
        <v>2329</v>
      </c>
      <c r="C224" s="11" t="s">
        <v>14</v>
      </c>
      <c r="D224" s="11" t="s">
        <v>2330</v>
      </c>
      <c r="E224" s="11"/>
      <c r="F224" s="11" t="s">
        <v>452</v>
      </c>
      <c r="G224" s="11" t="s">
        <v>1228</v>
      </c>
      <c r="H224" s="11" t="s">
        <v>2331</v>
      </c>
      <c r="I224" s="11" t="str">
        <f aca="false">IF(OR(G224="Gros",AND(H224&lt;&gt;"",S224="Oui")),"A",IF(OR(G224="Moyen",H224&lt;&gt;""),"B","C"))</f>
        <v>B</v>
      </c>
      <c r="J224" s="11" t="s">
        <v>2332</v>
      </c>
      <c r="K224" s="11"/>
      <c r="L224" s="11"/>
      <c r="M224" s="11"/>
      <c r="N224" s="11"/>
      <c r="O224" s="11"/>
      <c r="P224" s="11"/>
      <c r="Q224" s="11" t="s">
        <v>2333</v>
      </c>
      <c r="R224" s="11"/>
      <c r="S224" s="11"/>
      <c r="T224" s="11" t="s">
        <v>73</v>
      </c>
      <c r="U224" s="11" t="n">
        <f aca="false">COUNTA(K224:P224)</f>
        <v>0</v>
      </c>
      <c r="V224" s="11" t="s">
        <v>2334</v>
      </c>
      <c r="W224" s="13" t="s">
        <v>2335</v>
      </c>
    </row>
    <row r="225" customFormat="false" ht="15" hidden="false" customHeight="false" outlineLevel="0" collapsed="false">
      <c r="A225" s="11" t="n">
        <v>224</v>
      </c>
      <c r="B225" s="11" t="s">
        <v>2336</v>
      </c>
      <c r="C225" s="11" t="s">
        <v>14</v>
      </c>
      <c r="D225" s="11" t="s">
        <v>2337</v>
      </c>
      <c r="E225" s="11"/>
      <c r="F225" s="11" t="s">
        <v>452</v>
      </c>
      <c r="G225" s="11" t="s">
        <v>1228</v>
      </c>
      <c r="H225" s="11" t="s">
        <v>2338</v>
      </c>
      <c r="I225" s="11" t="str">
        <f aca="false">IF(OR(G225="Gros",AND(H225&lt;&gt;"",S225="Oui")),"A",IF(OR(G225="Moyen",H225&lt;&gt;""),"B","C"))</f>
        <v>B</v>
      </c>
      <c r="J225" s="11" t="s">
        <v>2339</v>
      </c>
      <c r="K225" s="11"/>
      <c r="L225" s="11"/>
      <c r="M225" s="11"/>
      <c r="N225" s="11"/>
      <c r="O225" s="11"/>
      <c r="P225" s="11"/>
      <c r="Q225" s="11" t="s">
        <v>2340</v>
      </c>
      <c r="R225" s="11"/>
      <c r="S225" s="11"/>
      <c r="T225" s="11" t="s">
        <v>55</v>
      </c>
      <c r="U225" s="11" t="n">
        <f aca="false">COUNTA(K225:P225)</f>
        <v>0</v>
      </c>
      <c r="V225" s="11" t="s">
        <v>2341</v>
      </c>
      <c r="W225" s="13" t="s">
        <v>2342</v>
      </c>
    </row>
    <row r="226" customFormat="false" ht="15" hidden="false" customHeight="false" outlineLevel="0" collapsed="false">
      <c r="A226" s="11" t="n">
        <v>225</v>
      </c>
      <c r="B226" s="11" t="s">
        <v>2343</v>
      </c>
      <c r="C226" s="11" t="s">
        <v>14</v>
      </c>
      <c r="D226" s="11" t="s">
        <v>2344</v>
      </c>
      <c r="E226" s="11"/>
      <c r="F226" s="11" t="s">
        <v>389</v>
      </c>
      <c r="G226" s="11" t="s">
        <v>1228</v>
      </c>
      <c r="H226" s="11" t="s">
        <v>2345</v>
      </c>
      <c r="I226" s="11" t="str">
        <f aca="false">IF(OR(G226="Gros",AND(H226&lt;&gt;"",S226="Oui")),"A",IF(OR(G226="Moyen",H226&lt;&gt;""),"B","C"))</f>
        <v>B</v>
      </c>
      <c r="J226" s="11" t="s">
        <v>2346</v>
      </c>
      <c r="K226" s="12" t="s">
        <v>2347</v>
      </c>
      <c r="L226" s="12" t="s">
        <v>2348</v>
      </c>
      <c r="M226" s="11"/>
      <c r="N226" s="11"/>
      <c r="O226" s="11"/>
      <c r="P226" s="11"/>
      <c r="Q226" s="11"/>
      <c r="R226" s="11"/>
      <c r="S226" s="11"/>
      <c r="T226" s="11" t="s">
        <v>55</v>
      </c>
      <c r="U226" s="11" t="n">
        <f aca="false">COUNTA(K226:P226)</f>
        <v>2</v>
      </c>
      <c r="V226" s="11" t="s">
        <v>2349</v>
      </c>
      <c r="W226" s="13" t="s">
        <v>2350</v>
      </c>
    </row>
    <row r="227" customFormat="false" ht="15" hidden="false" customHeight="false" outlineLevel="0" collapsed="false">
      <c r="A227" s="11" t="n">
        <v>226</v>
      </c>
      <c r="B227" s="11" t="s">
        <v>2351</v>
      </c>
      <c r="C227" s="11" t="s">
        <v>14</v>
      </c>
      <c r="D227" s="11" t="s">
        <v>1114</v>
      </c>
      <c r="E227" s="11"/>
      <c r="F227" s="11" t="s">
        <v>452</v>
      </c>
      <c r="G227" s="11" t="s">
        <v>1228</v>
      </c>
      <c r="H227" s="11"/>
      <c r="I227" s="11" t="str">
        <f aca="false">IF(OR(G227="Gros",AND(H227&lt;&gt;"",S227="Oui")),"A",IF(OR(G227="Moyen",H227&lt;&gt;""),"B","C"))</f>
        <v>B</v>
      </c>
      <c r="J227" s="11" t="s">
        <v>2352</v>
      </c>
      <c r="K227" s="11"/>
      <c r="L227" s="11"/>
      <c r="M227" s="11"/>
      <c r="N227" s="11"/>
      <c r="O227" s="11"/>
      <c r="P227" s="11"/>
      <c r="Q227" s="11" t="s">
        <v>2353</v>
      </c>
      <c r="R227" s="11"/>
      <c r="S227" s="11"/>
      <c r="T227" s="11" t="s">
        <v>55</v>
      </c>
      <c r="U227" s="11" t="n">
        <f aca="false">COUNTA(K227:P227)</f>
        <v>0</v>
      </c>
      <c r="V227" s="11" t="s">
        <v>2354</v>
      </c>
      <c r="W227" s="13" t="s">
        <v>2355</v>
      </c>
    </row>
    <row r="228" customFormat="false" ht="15" hidden="false" customHeight="false" outlineLevel="0" collapsed="false">
      <c r="A228" s="11" t="n">
        <v>227</v>
      </c>
      <c r="B228" s="11" t="s">
        <v>2356</v>
      </c>
      <c r="C228" s="11" t="s">
        <v>14</v>
      </c>
      <c r="D228" s="11"/>
      <c r="E228" s="11"/>
      <c r="F228" s="11" t="s">
        <v>51</v>
      </c>
      <c r="G228" s="11" t="s">
        <v>1270</v>
      </c>
      <c r="H228" s="11"/>
      <c r="I228" s="11" t="str">
        <f aca="false">IF(OR(G228="Gros",AND(H228&lt;&gt;"",S228="Oui")),"A",IF(OR(G228="Moyen",H228&lt;&gt;""),"B","C"))</f>
        <v>C</v>
      </c>
      <c r="J228" s="11" t="s">
        <v>2357</v>
      </c>
      <c r="K228" s="11"/>
      <c r="L228" s="12" t="s">
        <v>2358</v>
      </c>
      <c r="M228" s="11"/>
      <c r="N228" s="11"/>
      <c r="O228" s="11"/>
      <c r="P228" s="11"/>
      <c r="Q228" s="11"/>
      <c r="R228" s="12" t="s">
        <v>54</v>
      </c>
      <c r="S228" s="11"/>
      <c r="T228" s="11" t="s">
        <v>55</v>
      </c>
      <c r="U228" s="11" t="n">
        <f aca="false">COUNTA(K228:P228)</f>
        <v>1</v>
      </c>
      <c r="V228" s="11" t="s">
        <v>2359</v>
      </c>
      <c r="W228" s="13" t="s">
        <v>2360</v>
      </c>
    </row>
    <row r="229" customFormat="false" ht="15" hidden="false" customHeight="false" outlineLevel="0" collapsed="false">
      <c r="A229" s="11" t="n">
        <v>228</v>
      </c>
      <c r="B229" s="11" t="s">
        <v>2361</v>
      </c>
      <c r="C229" s="11" t="s">
        <v>14</v>
      </c>
      <c r="D229" s="11"/>
      <c r="E229" s="11"/>
      <c r="F229" s="11" t="s">
        <v>133</v>
      </c>
      <c r="G229" s="11" t="s">
        <v>1270</v>
      </c>
      <c r="H229" s="11"/>
      <c r="I229" s="11" t="str">
        <f aca="false">IF(OR(G229="Gros",AND(H229&lt;&gt;"",S229="Oui")),"A",IF(OR(G229="Moyen",H229&lt;&gt;""),"B","C"))</f>
        <v>C</v>
      </c>
      <c r="J229" s="11" t="s">
        <v>2362</v>
      </c>
      <c r="K229" s="11"/>
      <c r="L229" s="12" t="s">
        <v>2363</v>
      </c>
      <c r="M229" s="11"/>
      <c r="N229" s="11"/>
      <c r="O229" s="11"/>
      <c r="P229" s="11"/>
      <c r="Q229" s="11"/>
      <c r="R229" s="11"/>
      <c r="S229" s="11"/>
      <c r="T229" s="11" t="s">
        <v>55</v>
      </c>
      <c r="U229" s="11" t="n">
        <f aca="false">COUNTA(K229:P229)</f>
        <v>1</v>
      </c>
      <c r="V229" s="11" t="s">
        <v>2364</v>
      </c>
      <c r="W229" s="13" t="s">
        <v>2365</v>
      </c>
    </row>
    <row r="230" customFormat="false" ht="15" hidden="false" customHeight="false" outlineLevel="0" collapsed="false">
      <c r="A230" s="11" t="n">
        <v>229</v>
      </c>
      <c r="B230" s="11" t="s">
        <v>2366</v>
      </c>
      <c r="C230" s="11" t="s">
        <v>14</v>
      </c>
      <c r="D230" s="11"/>
      <c r="E230" s="11"/>
      <c r="F230" s="11" t="s">
        <v>133</v>
      </c>
      <c r="G230" s="11" t="s">
        <v>1270</v>
      </c>
      <c r="H230" s="11"/>
      <c r="I230" s="11" t="str">
        <f aca="false">IF(OR(G230="Gros",AND(H230&lt;&gt;"",S230="Oui")),"A",IF(OR(G230="Moyen",H230&lt;&gt;""),"B","C"))</f>
        <v>C</v>
      </c>
      <c r="J230" s="11" t="s">
        <v>2367</v>
      </c>
      <c r="K230" s="11"/>
      <c r="L230" s="12" t="s">
        <v>2368</v>
      </c>
      <c r="M230" s="11"/>
      <c r="N230" s="11"/>
      <c r="O230" s="11"/>
      <c r="P230" s="11"/>
      <c r="Q230" s="11" t="s">
        <v>1123</v>
      </c>
      <c r="R230" s="11"/>
      <c r="S230" s="11"/>
      <c r="T230" s="11" t="s">
        <v>55</v>
      </c>
      <c r="U230" s="11" t="n">
        <f aca="false">COUNTA(K230:P230)</f>
        <v>1</v>
      </c>
      <c r="V230" s="11" t="s">
        <v>2369</v>
      </c>
      <c r="W230" s="13" t="s">
        <v>2370</v>
      </c>
    </row>
    <row r="231" customFormat="false" ht="15" hidden="false" customHeight="false" outlineLevel="0" collapsed="false">
      <c r="A231" s="11" t="n">
        <v>230</v>
      </c>
      <c r="B231" s="11" t="s">
        <v>2371</v>
      </c>
      <c r="C231" s="11" t="s">
        <v>14</v>
      </c>
      <c r="D231" s="11"/>
      <c r="E231" s="11"/>
      <c r="F231" s="11" t="s">
        <v>452</v>
      </c>
      <c r="G231" s="11" t="s">
        <v>1270</v>
      </c>
      <c r="H231" s="11"/>
      <c r="I231" s="11" t="str">
        <f aca="false">IF(OR(G231="Gros",AND(H231&lt;&gt;"",S231="Oui")),"A",IF(OR(G231="Moyen",H231&lt;&gt;""),"B","C"))</f>
        <v>C</v>
      </c>
      <c r="J231" s="11" t="s">
        <v>2372</v>
      </c>
      <c r="K231" s="11"/>
      <c r="L231" s="11"/>
      <c r="M231" s="11"/>
      <c r="N231" s="11"/>
      <c r="O231" s="11"/>
      <c r="P231" s="11"/>
      <c r="Q231" s="11" t="s">
        <v>1123</v>
      </c>
      <c r="R231" s="11"/>
      <c r="S231" s="11"/>
      <c r="T231" s="11" t="s">
        <v>55</v>
      </c>
      <c r="U231" s="11" t="n">
        <f aca="false">COUNTA(K231:P231)</f>
        <v>0</v>
      </c>
      <c r="V231" s="11"/>
      <c r="W231" s="13" t="s">
        <v>2373</v>
      </c>
    </row>
    <row r="232" customFormat="false" ht="15" hidden="false" customHeight="false" outlineLevel="0" collapsed="false">
      <c r="A232" s="11" t="n">
        <v>231</v>
      </c>
      <c r="B232" s="11" t="s">
        <v>2374</v>
      </c>
      <c r="C232" s="11" t="s">
        <v>14</v>
      </c>
      <c r="D232" s="11"/>
      <c r="E232" s="11"/>
      <c r="F232" s="11" t="s">
        <v>133</v>
      </c>
      <c r="G232" s="11" t="s">
        <v>1270</v>
      </c>
      <c r="H232" s="11"/>
      <c r="I232" s="11" t="str">
        <f aca="false">IF(OR(G232="Gros",AND(H232&lt;&gt;"",S232="Oui")),"A",IF(OR(G232="Moyen",H232&lt;&gt;""),"B","C"))</f>
        <v>C</v>
      </c>
      <c r="J232" s="11" t="s">
        <v>2375</v>
      </c>
      <c r="K232" s="11"/>
      <c r="L232" s="12" t="s">
        <v>2376</v>
      </c>
      <c r="M232" s="11"/>
      <c r="N232" s="11"/>
      <c r="O232" s="11"/>
      <c r="P232" s="11"/>
      <c r="Q232" s="11" t="s">
        <v>1123</v>
      </c>
      <c r="R232" s="11"/>
      <c r="S232" s="11"/>
      <c r="T232" s="11" t="s">
        <v>55</v>
      </c>
      <c r="U232" s="11" t="n">
        <f aca="false">COUNTA(K232:P232)</f>
        <v>1</v>
      </c>
      <c r="V232" s="11" t="s">
        <v>2377</v>
      </c>
      <c r="W232" s="13" t="s">
        <v>2378</v>
      </c>
    </row>
    <row r="233" customFormat="false" ht="15" hidden="false" customHeight="false" outlineLevel="0" collapsed="false">
      <c r="A233" s="11" t="n">
        <v>232</v>
      </c>
      <c r="B233" s="11" t="s">
        <v>2379</v>
      </c>
      <c r="C233" s="11" t="s">
        <v>14</v>
      </c>
      <c r="D233" s="11"/>
      <c r="E233" s="11"/>
      <c r="F233" s="11" t="s">
        <v>452</v>
      </c>
      <c r="G233" s="11" t="s">
        <v>1270</v>
      </c>
      <c r="H233" s="11"/>
      <c r="I233" s="11" t="str">
        <f aca="false">IF(OR(G233="Gros",AND(H233&lt;&gt;"",S233="Oui")),"A",IF(OR(G233="Moyen",H233&lt;&gt;""),"B","C"))</f>
        <v>C</v>
      </c>
      <c r="J233" s="11" t="s">
        <v>2380</v>
      </c>
      <c r="K233" s="11"/>
      <c r="L233" s="11"/>
      <c r="M233" s="11"/>
      <c r="N233" s="11"/>
      <c r="O233" s="11"/>
      <c r="P233" s="11"/>
      <c r="Q233" s="11" t="s">
        <v>2381</v>
      </c>
      <c r="R233" s="11"/>
      <c r="S233" s="11"/>
      <c r="T233" s="11" t="s">
        <v>55</v>
      </c>
      <c r="U233" s="11" t="n">
        <f aca="false">COUNTA(K233:P233)</f>
        <v>0</v>
      </c>
      <c r="V233" s="11"/>
      <c r="W233" s="13" t="s">
        <v>2382</v>
      </c>
    </row>
    <row r="234" customFormat="false" ht="15" hidden="false" customHeight="false" outlineLevel="0" collapsed="false">
      <c r="A234" s="11" t="n">
        <v>233</v>
      </c>
      <c r="B234" s="11" t="s">
        <v>2383</v>
      </c>
      <c r="C234" s="11" t="s">
        <v>14</v>
      </c>
      <c r="D234" s="11" t="s">
        <v>938</v>
      </c>
      <c r="E234" s="11" t="s">
        <v>2384</v>
      </c>
      <c r="F234" s="11" t="s">
        <v>156</v>
      </c>
      <c r="G234" s="11" t="s">
        <v>1270</v>
      </c>
      <c r="H234" s="11"/>
      <c r="I234" s="11" t="str">
        <f aca="false">IF(OR(G234="Gros",AND(H234&lt;&gt;"",S234="Oui")),"A",IF(OR(G234="Moyen",H234&lt;&gt;""),"B","C"))</f>
        <v>C</v>
      </c>
      <c r="J234" s="11" t="s">
        <v>2385</v>
      </c>
      <c r="K234" s="11"/>
      <c r="L234" s="12" t="s">
        <v>2386</v>
      </c>
      <c r="M234" s="11"/>
      <c r="N234" s="11"/>
      <c r="O234" s="11"/>
      <c r="P234" s="11"/>
      <c r="Q234" s="11"/>
      <c r="R234" s="12" t="s">
        <v>54</v>
      </c>
      <c r="S234" s="11"/>
      <c r="T234" s="11" t="s">
        <v>55</v>
      </c>
      <c r="U234" s="11" t="n">
        <f aca="false">COUNTA(K234:P234)</f>
        <v>1</v>
      </c>
      <c r="V234" s="11" t="s">
        <v>2387</v>
      </c>
      <c r="W234" s="13" t="s">
        <v>2388</v>
      </c>
    </row>
    <row r="235" customFormat="false" ht="15" hidden="false" customHeight="false" outlineLevel="0" collapsed="false">
      <c r="A235" s="11" t="n">
        <v>234</v>
      </c>
      <c r="B235" s="11" t="s">
        <v>2389</v>
      </c>
      <c r="C235" s="11" t="s">
        <v>14</v>
      </c>
      <c r="D235" s="11" t="s">
        <v>2390</v>
      </c>
      <c r="E235" s="11"/>
      <c r="F235" s="11" t="s">
        <v>133</v>
      </c>
      <c r="G235" s="11" t="s">
        <v>1270</v>
      </c>
      <c r="H235" s="11"/>
      <c r="I235" s="11" t="str">
        <f aca="false">IF(OR(G235="Gros",AND(H235&lt;&gt;"",S235="Oui")),"A",IF(OR(G235="Moyen",H235&lt;&gt;""),"B","C"))</f>
        <v>C</v>
      </c>
      <c r="J235" s="11" t="s">
        <v>2391</v>
      </c>
      <c r="K235" s="11"/>
      <c r="L235" s="12" t="s">
        <v>2392</v>
      </c>
      <c r="M235" s="11"/>
      <c r="N235" s="11"/>
      <c r="O235" s="11"/>
      <c r="P235" s="11"/>
      <c r="Q235" s="11"/>
      <c r="R235" s="11"/>
      <c r="S235" s="11"/>
      <c r="T235" s="11" t="s">
        <v>55</v>
      </c>
      <c r="U235" s="11" t="n">
        <f aca="false">COUNTA(K235:P235)</f>
        <v>1</v>
      </c>
      <c r="V235" s="11"/>
      <c r="W235" s="13" t="s">
        <v>2393</v>
      </c>
    </row>
    <row r="236" customFormat="false" ht="15" hidden="false" customHeight="false" outlineLevel="0" collapsed="false">
      <c r="A236" s="11" t="n">
        <v>235</v>
      </c>
      <c r="B236" s="11" t="s">
        <v>2394</v>
      </c>
      <c r="C236" s="11" t="s">
        <v>14</v>
      </c>
      <c r="D236" s="11" t="s">
        <v>2293</v>
      </c>
      <c r="E236" s="11"/>
      <c r="F236" s="11" t="s">
        <v>452</v>
      </c>
      <c r="G236" s="11" t="s">
        <v>1270</v>
      </c>
      <c r="H236" s="11"/>
      <c r="I236" s="11" t="str">
        <f aca="false">IF(OR(G236="Gros",AND(H236&lt;&gt;"",S236="Oui")),"A",IF(OR(G236="Moyen",H236&lt;&gt;""),"B","C"))</f>
        <v>C</v>
      </c>
      <c r="J236" s="11" t="s">
        <v>2395</v>
      </c>
      <c r="K236" s="11"/>
      <c r="L236" s="11"/>
      <c r="M236" s="11"/>
      <c r="N236" s="11"/>
      <c r="O236" s="11"/>
      <c r="P236" s="11"/>
      <c r="Q236" s="11" t="s">
        <v>1123</v>
      </c>
      <c r="R236" s="11"/>
      <c r="S236" s="11"/>
      <c r="T236" s="11" t="s">
        <v>55</v>
      </c>
      <c r="U236" s="11" t="n">
        <f aca="false">COUNTA(K236:P236)</f>
        <v>0</v>
      </c>
      <c r="V236" s="11"/>
      <c r="W236" s="13" t="s">
        <v>2396</v>
      </c>
    </row>
    <row r="237" customFormat="false" ht="15" hidden="false" customHeight="false" outlineLevel="0" collapsed="false">
      <c r="A237" s="11" t="n">
        <v>236</v>
      </c>
      <c r="B237" s="11" t="s">
        <v>2397</v>
      </c>
      <c r="C237" s="11" t="s">
        <v>14</v>
      </c>
      <c r="D237" s="11" t="s">
        <v>980</v>
      </c>
      <c r="E237" s="11"/>
      <c r="F237" s="11" t="s">
        <v>133</v>
      </c>
      <c r="G237" s="11" t="s">
        <v>1270</v>
      </c>
      <c r="H237" s="11" t="s">
        <v>2398</v>
      </c>
      <c r="I237" s="11" t="str">
        <f aca="false">IF(OR(G237="Gros",AND(H237&lt;&gt;"",S237="Oui")),"A",IF(OR(G237="Moyen",H237&lt;&gt;""),"B","C"))</f>
        <v>B</v>
      </c>
      <c r="J237" s="11" t="s">
        <v>2399</v>
      </c>
      <c r="K237" s="11"/>
      <c r="L237" s="12" t="s">
        <v>2400</v>
      </c>
      <c r="M237" s="11"/>
      <c r="N237" s="11"/>
      <c r="O237" s="11"/>
      <c r="P237" s="11"/>
      <c r="Q237" s="11"/>
      <c r="R237" s="11"/>
      <c r="S237" s="11"/>
      <c r="T237" s="11" t="s">
        <v>73</v>
      </c>
      <c r="U237" s="11" t="n">
        <f aca="false">COUNTA(K237:P237)</f>
        <v>1</v>
      </c>
      <c r="V237" s="11" t="s">
        <v>2401</v>
      </c>
      <c r="W237" s="13" t="s">
        <v>2402</v>
      </c>
    </row>
    <row r="238" customFormat="false" ht="15" hidden="false" customHeight="false" outlineLevel="0" collapsed="false">
      <c r="A238" s="11" t="n">
        <v>237</v>
      </c>
      <c r="B238" s="11" t="s">
        <v>2403</v>
      </c>
      <c r="C238" s="11" t="s">
        <v>14</v>
      </c>
      <c r="D238" s="11" t="s">
        <v>980</v>
      </c>
      <c r="E238" s="11"/>
      <c r="F238" s="11" t="s">
        <v>452</v>
      </c>
      <c r="G238" s="11" t="s">
        <v>1270</v>
      </c>
      <c r="H238" s="11" t="s">
        <v>2404</v>
      </c>
      <c r="I238" s="11" t="str">
        <f aca="false">IF(OR(G238="Gros",AND(H238&lt;&gt;"",S238="Oui")),"A",IF(OR(G238="Moyen",H238&lt;&gt;""),"B","C"))</f>
        <v>B</v>
      </c>
      <c r="J238" s="11" t="s">
        <v>2405</v>
      </c>
      <c r="K238" s="11"/>
      <c r="L238" s="11"/>
      <c r="M238" s="11"/>
      <c r="N238" s="11"/>
      <c r="O238" s="11"/>
      <c r="P238" s="11"/>
      <c r="Q238" s="11" t="s">
        <v>2406</v>
      </c>
      <c r="R238" s="11"/>
      <c r="S238" s="11"/>
      <c r="T238" s="11" t="s">
        <v>73</v>
      </c>
      <c r="U238" s="11" t="n">
        <f aca="false">COUNTA(K238:P238)</f>
        <v>0</v>
      </c>
      <c r="V238" s="11"/>
      <c r="W238" s="13" t="s">
        <v>2407</v>
      </c>
    </row>
    <row r="239" customFormat="false" ht="15" hidden="false" customHeight="false" outlineLevel="0" collapsed="false">
      <c r="A239" s="11" t="n">
        <v>238</v>
      </c>
      <c r="B239" s="11" t="s">
        <v>2408</v>
      </c>
      <c r="C239" s="11" t="s">
        <v>14</v>
      </c>
      <c r="D239" s="11" t="s">
        <v>2311</v>
      </c>
      <c r="E239" s="11"/>
      <c r="F239" s="11" t="s">
        <v>452</v>
      </c>
      <c r="G239" s="11" t="s">
        <v>1270</v>
      </c>
      <c r="H239" s="11" t="s">
        <v>2409</v>
      </c>
      <c r="I239" s="11" t="str">
        <f aca="false">IF(OR(G239="Gros",AND(H239&lt;&gt;"",S239="Oui")),"A",IF(OR(G239="Moyen",H239&lt;&gt;""),"B","C"))</f>
        <v>B</v>
      </c>
      <c r="J239" s="11" t="s">
        <v>2410</v>
      </c>
      <c r="K239" s="11"/>
      <c r="L239" s="11"/>
      <c r="M239" s="11"/>
      <c r="N239" s="11"/>
      <c r="O239" s="11"/>
      <c r="P239" s="11"/>
      <c r="Q239" s="11" t="s">
        <v>1123</v>
      </c>
      <c r="R239" s="11"/>
      <c r="S239" s="11"/>
      <c r="T239" s="11" t="s">
        <v>55</v>
      </c>
      <c r="U239" s="11" t="n">
        <f aca="false">COUNTA(K239:P239)</f>
        <v>0</v>
      </c>
      <c r="V239" s="11"/>
      <c r="W239" s="13" t="s">
        <v>2411</v>
      </c>
    </row>
    <row r="240" customFormat="false" ht="15" hidden="false" customHeight="false" outlineLevel="0" collapsed="false">
      <c r="A240" s="11" t="n">
        <v>239</v>
      </c>
      <c r="B240" s="11" t="s">
        <v>2412</v>
      </c>
      <c r="C240" s="11" t="s">
        <v>14</v>
      </c>
      <c r="D240" s="11" t="s">
        <v>2413</v>
      </c>
      <c r="E240" s="11"/>
      <c r="F240" s="11" t="s">
        <v>452</v>
      </c>
      <c r="G240" s="11" t="s">
        <v>1270</v>
      </c>
      <c r="H240" s="11"/>
      <c r="I240" s="11" t="str">
        <f aca="false">IF(OR(G240="Gros",AND(H240&lt;&gt;"",S240="Oui")),"A",IF(OR(G240="Moyen",H240&lt;&gt;""),"B","C"))</f>
        <v>C</v>
      </c>
      <c r="J240" s="11" t="s">
        <v>2414</v>
      </c>
      <c r="K240" s="11"/>
      <c r="L240" s="11"/>
      <c r="M240" s="11"/>
      <c r="N240" s="11"/>
      <c r="O240" s="11"/>
      <c r="P240" s="11"/>
      <c r="Q240" s="11" t="s">
        <v>1123</v>
      </c>
      <c r="R240" s="11"/>
      <c r="S240" s="11"/>
      <c r="T240" s="11" t="s">
        <v>55</v>
      </c>
      <c r="U240" s="11" t="n">
        <f aca="false">COUNTA(K240:P240)</f>
        <v>0</v>
      </c>
      <c r="V240" s="11" t="s">
        <v>2415</v>
      </c>
      <c r="W240" s="13" t="s">
        <v>2416</v>
      </c>
    </row>
    <row r="241" customFormat="false" ht="15" hidden="false" customHeight="false" outlineLevel="0" collapsed="false">
      <c r="A241" s="11" t="n">
        <v>240</v>
      </c>
      <c r="B241" s="11" t="s">
        <v>2417</v>
      </c>
      <c r="C241" s="11" t="s">
        <v>14</v>
      </c>
      <c r="D241" s="11" t="s">
        <v>2264</v>
      </c>
      <c r="E241" s="11"/>
      <c r="F241" s="11" t="s">
        <v>452</v>
      </c>
      <c r="G241" s="11" t="s">
        <v>1270</v>
      </c>
      <c r="H241" s="11"/>
      <c r="I241" s="11" t="str">
        <f aca="false">IF(OR(G241="Gros",AND(H241&lt;&gt;"",S241="Oui")),"A",IF(OR(G241="Moyen",H241&lt;&gt;""),"B","C"))</f>
        <v>C</v>
      </c>
      <c r="J241" s="11" t="s">
        <v>2418</v>
      </c>
      <c r="K241" s="11"/>
      <c r="L241" s="11"/>
      <c r="M241" s="11"/>
      <c r="N241" s="11"/>
      <c r="O241" s="11"/>
      <c r="P241" s="11"/>
      <c r="Q241" s="11" t="s">
        <v>1123</v>
      </c>
      <c r="R241" s="11"/>
      <c r="S241" s="11"/>
      <c r="T241" s="11" t="s">
        <v>55</v>
      </c>
      <c r="U241" s="11" t="n">
        <f aca="false">COUNTA(K241:P241)</f>
        <v>0</v>
      </c>
      <c r="V241" s="11" t="s">
        <v>2419</v>
      </c>
      <c r="W241" s="13" t="s">
        <v>2420</v>
      </c>
    </row>
    <row r="242" customFormat="false" ht="15" hidden="false" customHeight="false" outlineLevel="0" collapsed="false">
      <c r="A242" s="11" t="n">
        <v>241</v>
      </c>
      <c r="B242" s="11" t="s">
        <v>2421</v>
      </c>
      <c r="C242" s="11" t="s">
        <v>14</v>
      </c>
      <c r="D242" s="11" t="s">
        <v>2422</v>
      </c>
      <c r="E242" s="11"/>
      <c r="F242" s="11" t="s">
        <v>452</v>
      </c>
      <c r="G242" s="11" t="s">
        <v>1270</v>
      </c>
      <c r="H242" s="11" t="s">
        <v>2423</v>
      </c>
      <c r="I242" s="11" t="str">
        <f aca="false">IF(OR(G242="Gros",AND(H242&lt;&gt;"",S242="Oui")),"A",IF(OR(G242="Moyen",H242&lt;&gt;""),"B","C"))</f>
        <v>B</v>
      </c>
      <c r="J242" s="11" t="s">
        <v>2424</v>
      </c>
      <c r="K242" s="11"/>
      <c r="L242" s="11"/>
      <c r="M242" s="11"/>
      <c r="N242" s="11"/>
      <c r="O242" s="11"/>
      <c r="P242" s="11"/>
      <c r="Q242" s="11" t="s">
        <v>1123</v>
      </c>
      <c r="R242" s="11"/>
      <c r="S242" s="11"/>
      <c r="T242" s="11" t="s">
        <v>73</v>
      </c>
      <c r="U242" s="11" t="n">
        <f aca="false">COUNTA(K242:P242)</f>
        <v>0</v>
      </c>
      <c r="V242" s="11" t="s">
        <v>2425</v>
      </c>
      <c r="W242" s="13" t="s">
        <v>2426</v>
      </c>
    </row>
    <row r="243" customFormat="false" ht="15" hidden="false" customHeight="false" outlineLevel="0" collapsed="false">
      <c r="A243" s="11" t="n">
        <v>242</v>
      </c>
      <c r="B243" s="11" t="s">
        <v>2427</v>
      </c>
      <c r="C243" s="11" t="s">
        <v>14</v>
      </c>
      <c r="D243" s="11" t="s">
        <v>2330</v>
      </c>
      <c r="E243" s="11"/>
      <c r="F243" s="11" t="s">
        <v>452</v>
      </c>
      <c r="G243" s="11" t="s">
        <v>1270</v>
      </c>
      <c r="H243" s="11" t="s">
        <v>2428</v>
      </c>
      <c r="I243" s="11" t="str">
        <f aca="false">IF(OR(G243="Gros",AND(H243&lt;&gt;"",S243="Oui")),"A",IF(OR(G243="Moyen",H243&lt;&gt;""),"B","C"))</f>
        <v>B</v>
      </c>
      <c r="J243" s="11" t="s">
        <v>2313</v>
      </c>
      <c r="K243" s="11"/>
      <c r="L243" s="11"/>
      <c r="M243" s="11"/>
      <c r="N243" s="11"/>
      <c r="O243" s="11"/>
      <c r="P243" s="11"/>
      <c r="Q243" s="11" t="s">
        <v>1123</v>
      </c>
      <c r="R243" s="11"/>
      <c r="S243" s="11"/>
      <c r="T243" s="11" t="s">
        <v>73</v>
      </c>
      <c r="U243" s="11" t="n">
        <f aca="false">COUNTA(K243:P243)</f>
        <v>0</v>
      </c>
      <c r="V243" s="11" t="s">
        <v>2429</v>
      </c>
      <c r="W243" s="13" t="s">
        <v>2430</v>
      </c>
    </row>
    <row r="244" customFormat="false" ht="15" hidden="false" customHeight="false" outlineLevel="0" collapsed="false">
      <c r="A244" s="11" t="n">
        <v>243</v>
      </c>
      <c r="B244" s="11" t="s">
        <v>2431</v>
      </c>
      <c r="C244" s="11" t="s">
        <v>14</v>
      </c>
      <c r="D244" s="11" t="s">
        <v>2330</v>
      </c>
      <c r="E244" s="11" t="s">
        <v>2432</v>
      </c>
      <c r="F244" s="11" t="s">
        <v>51</v>
      </c>
      <c r="G244" s="11" t="s">
        <v>1270</v>
      </c>
      <c r="H244" s="11"/>
      <c r="I244" s="11" t="str">
        <f aca="false">IF(OR(G244="Gros",AND(H244&lt;&gt;"",S244="Oui")),"A",IF(OR(G244="Moyen",H244&lt;&gt;""),"B","C"))</f>
        <v>C</v>
      </c>
      <c r="J244" s="11" t="s">
        <v>2433</v>
      </c>
      <c r="K244" s="11"/>
      <c r="L244" s="12" t="s">
        <v>2434</v>
      </c>
      <c r="M244" s="11"/>
      <c r="N244" s="11"/>
      <c r="O244" s="11"/>
      <c r="P244" s="11"/>
      <c r="Q244" s="11"/>
      <c r="R244" s="12" t="s">
        <v>54</v>
      </c>
      <c r="S244" s="11"/>
      <c r="T244" s="11" t="s">
        <v>55</v>
      </c>
      <c r="U244" s="11" t="n">
        <f aca="false">COUNTA(K244:P244)</f>
        <v>1</v>
      </c>
      <c r="V244" s="11" t="s">
        <v>2435</v>
      </c>
      <c r="W244" s="13" t="s">
        <v>2436</v>
      </c>
    </row>
    <row r="245" customFormat="false" ht="15" hidden="false" customHeight="false" outlineLevel="0" collapsed="false">
      <c r="A245" s="11" t="n">
        <v>244</v>
      </c>
      <c r="B245" s="11" t="s">
        <v>2437</v>
      </c>
      <c r="C245" s="11" t="s">
        <v>14</v>
      </c>
      <c r="D245" s="11" t="s">
        <v>2330</v>
      </c>
      <c r="E245" s="11" t="s">
        <v>2438</v>
      </c>
      <c r="F245" s="11" t="s">
        <v>51</v>
      </c>
      <c r="G245" s="11" t="s">
        <v>1270</v>
      </c>
      <c r="H245" s="11"/>
      <c r="I245" s="11" t="str">
        <f aca="false">IF(OR(G245="Gros",AND(H245&lt;&gt;"",S245="Oui")),"A",IF(OR(G245="Moyen",H245&lt;&gt;""),"B","C"))</f>
        <v>C</v>
      </c>
      <c r="J245" s="11" t="s">
        <v>2439</v>
      </c>
      <c r="K245" s="11"/>
      <c r="L245" s="12" t="s">
        <v>2440</v>
      </c>
      <c r="M245" s="11"/>
      <c r="N245" s="11"/>
      <c r="O245" s="11"/>
      <c r="P245" s="11"/>
      <c r="Q245" s="11"/>
      <c r="R245" s="12" t="s">
        <v>54</v>
      </c>
      <c r="S245" s="11"/>
      <c r="T245" s="11" t="s">
        <v>55</v>
      </c>
      <c r="U245" s="11" t="n">
        <f aca="false">COUNTA(K245:P245)</f>
        <v>1</v>
      </c>
      <c r="V245" s="11"/>
      <c r="W245" s="13" t="s">
        <v>2441</v>
      </c>
    </row>
    <row r="246" customFormat="false" ht="15" hidden="false" customHeight="false" outlineLevel="0" collapsed="false">
      <c r="A246" s="11" t="n">
        <v>245</v>
      </c>
      <c r="B246" s="11" t="s">
        <v>2442</v>
      </c>
      <c r="C246" s="11" t="s">
        <v>14</v>
      </c>
      <c r="D246" s="11" t="s">
        <v>2330</v>
      </c>
      <c r="E246" s="11"/>
      <c r="F246" s="11" t="s">
        <v>452</v>
      </c>
      <c r="G246" s="11" t="s">
        <v>1270</v>
      </c>
      <c r="H246" s="11" t="s">
        <v>2443</v>
      </c>
      <c r="I246" s="11" t="str">
        <f aca="false">IF(OR(G246="Gros",AND(H246&lt;&gt;"",S246="Oui")),"A",IF(OR(G246="Moyen",H246&lt;&gt;""),"B","C"))</f>
        <v>B</v>
      </c>
      <c r="J246" s="11" t="s">
        <v>2313</v>
      </c>
      <c r="K246" s="11"/>
      <c r="L246" s="11"/>
      <c r="M246" s="11"/>
      <c r="N246" s="11"/>
      <c r="O246" s="11"/>
      <c r="P246" s="11"/>
      <c r="Q246" s="11" t="s">
        <v>1123</v>
      </c>
      <c r="R246" s="11"/>
      <c r="S246" s="11"/>
      <c r="T246" s="11" t="s">
        <v>73</v>
      </c>
      <c r="U246" s="11" t="n">
        <f aca="false">COUNTA(K246:P246)</f>
        <v>0</v>
      </c>
      <c r="V246" s="11" t="s">
        <v>2429</v>
      </c>
      <c r="W246" s="13" t="s">
        <v>2444</v>
      </c>
    </row>
    <row r="247" customFormat="false" ht="15" hidden="false" customHeight="false" outlineLevel="0" collapsed="false">
      <c r="A247" s="11" t="n">
        <v>246</v>
      </c>
      <c r="B247" s="11" t="s">
        <v>2445</v>
      </c>
      <c r="C247" s="11" t="s">
        <v>14</v>
      </c>
      <c r="D247" s="11" t="s">
        <v>2330</v>
      </c>
      <c r="E247" s="11"/>
      <c r="F247" s="11" t="s">
        <v>452</v>
      </c>
      <c r="G247" s="11" t="s">
        <v>1270</v>
      </c>
      <c r="H247" s="11" t="s">
        <v>2446</v>
      </c>
      <c r="I247" s="11" t="str">
        <f aca="false">IF(OR(G247="Gros",AND(H247&lt;&gt;"",S247="Oui")),"A",IF(OR(G247="Moyen",H247&lt;&gt;""),"B","C"))</f>
        <v>B</v>
      </c>
      <c r="J247" s="11" t="s">
        <v>2447</v>
      </c>
      <c r="K247" s="11"/>
      <c r="L247" s="11"/>
      <c r="M247" s="11"/>
      <c r="N247" s="11"/>
      <c r="O247" s="11"/>
      <c r="P247" s="11"/>
      <c r="Q247" s="11" t="s">
        <v>1123</v>
      </c>
      <c r="R247" s="11"/>
      <c r="S247" s="11"/>
      <c r="T247" s="11" t="s">
        <v>55</v>
      </c>
      <c r="U247" s="11" t="n">
        <f aca="false">COUNTA(K247:P247)</f>
        <v>0</v>
      </c>
      <c r="V247" s="11"/>
      <c r="W247" s="13" t="s">
        <v>2448</v>
      </c>
    </row>
    <row r="248" customFormat="false" ht="15" hidden="false" customHeight="false" outlineLevel="0" collapsed="false">
      <c r="A248" s="11" t="n">
        <v>247</v>
      </c>
      <c r="B248" s="11" t="s">
        <v>2449</v>
      </c>
      <c r="C248" s="11" t="s">
        <v>14</v>
      </c>
      <c r="D248" s="11" t="s">
        <v>2330</v>
      </c>
      <c r="E248" s="11"/>
      <c r="F248" s="11" t="s">
        <v>452</v>
      </c>
      <c r="G248" s="11" t="s">
        <v>1270</v>
      </c>
      <c r="H248" s="11" t="s">
        <v>2450</v>
      </c>
      <c r="I248" s="11" t="str">
        <f aca="false">IF(OR(G248="Gros",AND(H248&lt;&gt;"",S248="Oui")),"A",IF(OR(G248="Moyen",H248&lt;&gt;""),"B","C"))</f>
        <v>B</v>
      </c>
      <c r="J248" s="11" t="s">
        <v>2313</v>
      </c>
      <c r="K248" s="11"/>
      <c r="L248" s="11"/>
      <c r="M248" s="11"/>
      <c r="N248" s="11"/>
      <c r="O248" s="11"/>
      <c r="P248" s="11"/>
      <c r="Q248" s="11" t="s">
        <v>1123</v>
      </c>
      <c r="R248" s="11"/>
      <c r="S248" s="11"/>
      <c r="T248" s="11" t="s">
        <v>55</v>
      </c>
      <c r="U248" s="11" t="n">
        <f aca="false">COUNTA(K248:P248)</f>
        <v>0</v>
      </c>
      <c r="V248" s="11"/>
      <c r="W248" s="13" t="s">
        <v>2451</v>
      </c>
    </row>
    <row r="249" customFormat="false" ht="15" hidden="false" customHeight="false" outlineLevel="0" collapsed="false">
      <c r="A249" s="11" t="n">
        <v>248</v>
      </c>
      <c r="B249" s="11" t="s">
        <v>2452</v>
      </c>
      <c r="C249" s="11" t="s">
        <v>14</v>
      </c>
      <c r="D249" s="11" t="s">
        <v>2344</v>
      </c>
      <c r="E249" s="11" t="s">
        <v>2453</v>
      </c>
      <c r="F249" s="11" t="s">
        <v>51</v>
      </c>
      <c r="G249" s="11" t="s">
        <v>1270</v>
      </c>
      <c r="H249" s="11"/>
      <c r="I249" s="11" t="str">
        <f aca="false">IF(OR(G249="Gros",AND(H249&lt;&gt;"",S249="Oui")),"A",IF(OR(G249="Moyen",H249&lt;&gt;""),"B","C"))</f>
        <v>C</v>
      </c>
      <c r="J249" s="11" t="s">
        <v>2454</v>
      </c>
      <c r="K249" s="11"/>
      <c r="L249" s="12" t="s">
        <v>2455</v>
      </c>
      <c r="M249" s="11"/>
      <c r="N249" s="11"/>
      <c r="O249" s="11"/>
      <c r="P249" s="11"/>
      <c r="Q249" s="11"/>
      <c r="R249" s="12" t="s">
        <v>54</v>
      </c>
      <c r="S249" s="11"/>
      <c r="T249" s="11" t="s">
        <v>55</v>
      </c>
      <c r="U249" s="11" t="n">
        <f aca="false">COUNTA(K249:P249)</f>
        <v>1</v>
      </c>
      <c r="V249" s="11"/>
      <c r="W249" s="13" t="s">
        <v>2456</v>
      </c>
    </row>
    <row r="250" customFormat="false" ht="15" hidden="false" customHeight="false" outlineLevel="0" collapsed="false">
      <c r="A250" s="11" t="n">
        <v>249</v>
      </c>
      <c r="B250" s="11" t="s">
        <v>2457</v>
      </c>
      <c r="C250" s="11" t="s">
        <v>14</v>
      </c>
      <c r="D250" s="11" t="s">
        <v>2344</v>
      </c>
      <c r="E250" s="11"/>
      <c r="F250" s="11" t="s">
        <v>452</v>
      </c>
      <c r="G250" s="11" t="s">
        <v>1270</v>
      </c>
      <c r="H250" s="11"/>
      <c r="I250" s="11" t="str">
        <f aca="false">IF(OR(G250="Gros",AND(H250&lt;&gt;"",S250="Oui")),"A",IF(OR(G250="Moyen",H250&lt;&gt;""),"B","C"))</f>
        <v>C</v>
      </c>
      <c r="J250" s="11" t="s">
        <v>2458</v>
      </c>
      <c r="K250" s="11"/>
      <c r="L250" s="11"/>
      <c r="M250" s="11"/>
      <c r="N250" s="11"/>
      <c r="O250" s="11"/>
      <c r="P250" s="11"/>
      <c r="Q250" s="11" t="s">
        <v>1123</v>
      </c>
      <c r="R250" s="11"/>
      <c r="S250" s="11"/>
      <c r="T250" s="11" t="s">
        <v>55</v>
      </c>
      <c r="U250" s="11" t="n">
        <f aca="false">COUNTA(K250:P250)</f>
        <v>0</v>
      </c>
      <c r="V250" s="11"/>
      <c r="W250" s="13" t="s">
        <v>2420</v>
      </c>
    </row>
    <row r="251" customFormat="false" ht="15" hidden="false" customHeight="false" outlineLevel="0" collapsed="false">
      <c r="A251" s="11" t="n">
        <v>250</v>
      </c>
      <c r="B251" s="11" t="s">
        <v>2459</v>
      </c>
      <c r="C251" s="11" t="s">
        <v>14</v>
      </c>
      <c r="D251" s="11" t="s">
        <v>2344</v>
      </c>
      <c r="E251" s="11"/>
      <c r="F251" s="11" t="s">
        <v>51</v>
      </c>
      <c r="G251" s="11" t="s">
        <v>1270</v>
      </c>
      <c r="H251" s="11"/>
      <c r="I251" s="11" t="str">
        <f aca="false">IF(OR(G251="Gros",AND(H251&lt;&gt;"",S251="Oui")),"A",IF(OR(G251="Moyen",H251&lt;&gt;""),"B","C"))</f>
        <v>C</v>
      </c>
      <c r="J251" s="11" t="s">
        <v>1798</v>
      </c>
      <c r="K251" s="11"/>
      <c r="L251" s="12" t="s">
        <v>2460</v>
      </c>
      <c r="M251" s="11"/>
      <c r="N251" s="11"/>
      <c r="O251" s="11"/>
      <c r="P251" s="11"/>
      <c r="Q251" s="11"/>
      <c r="R251" s="12" t="s">
        <v>54</v>
      </c>
      <c r="S251" s="11"/>
      <c r="T251" s="11" t="s">
        <v>55</v>
      </c>
      <c r="U251" s="11" t="n">
        <f aca="false">COUNTA(K251:P251)</f>
        <v>1</v>
      </c>
      <c r="V251" s="11" t="s">
        <v>2461</v>
      </c>
      <c r="W251" s="13" t="s">
        <v>2462</v>
      </c>
    </row>
    <row r="252" customFormat="false" ht="15" hidden="false" customHeight="false" outlineLevel="0" collapsed="false">
      <c r="A252" s="11" t="n">
        <v>251</v>
      </c>
      <c r="B252" s="11" t="s">
        <v>2463</v>
      </c>
      <c r="C252" s="11" t="s">
        <v>14</v>
      </c>
      <c r="D252" s="11" t="s">
        <v>2464</v>
      </c>
      <c r="E252" s="11"/>
      <c r="F252" s="11" t="s">
        <v>122</v>
      </c>
      <c r="G252" s="11" t="s">
        <v>1270</v>
      </c>
      <c r="H252" s="11"/>
      <c r="I252" s="11" t="str">
        <f aca="false">IF(OR(G252="Gros",AND(H252&lt;&gt;"",S252="Oui")),"A",IF(OR(G252="Moyen",H252&lt;&gt;""),"B","C"))</f>
        <v>C</v>
      </c>
      <c r="J252" s="11" t="s">
        <v>2465</v>
      </c>
      <c r="K252" s="11"/>
      <c r="L252" s="12" t="s">
        <v>2466</v>
      </c>
      <c r="M252" s="11"/>
      <c r="N252" s="11"/>
      <c r="O252" s="11"/>
      <c r="P252" s="11"/>
      <c r="Q252" s="11"/>
      <c r="R252" s="12" t="s">
        <v>54</v>
      </c>
      <c r="S252" s="11"/>
      <c r="T252" s="11" t="s">
        <v>55</v>
      </c>
      <c r="U252" s="11" t="n">
        <f aca="false">COUNTA(K252:P252)</f>
        <v>1</v>
      </c>
      <c r="V252" s="11" t="s">
        <v>2467</v>
      </c>
      <c r="W252" s="13" t="s">
        <v>2468</v>
      </c>
    </row>
    <row r="253" customFormat="false" ht="15" hidden="false" customHeight="false" outlineLevel="0" collapsed="false">
      <c r="A253" s="11" t="n">
        <v>252</v>
      </c>
      <c r="B253" s="11" t="s">
        <v>2469</v>
      </c>
      <c r="C253" s="11" t="s">
        <v>14</v>
      </c>
      <c r="D253" s="11" t="s">
        <v>2470</v>
      </c>
      <c r="E253" s="11"/>
      <c r="F253" s="11" t="s">
        <v>133</v>
      </c>
      <c r="G253" s="11" t="s">
        <v>1270</v>
      </c>
      <c r="H253" s="11" t="s">
        <v>2471</v>
      </c>
      <c r="I253" s="11" t="str">
        <f aca="false">IF(OR(G253="Gros",AND(H253&lt;&gt;"",S253="Oui")),"A",IF(OR(G253="Moyen",H253&lt;&gt;""),"B","C"))</f>
        <v>B</v>
      </c>
      <c r="J253" s="11" t="s">
        <v>2472</v>
      </c>
      <c r="K253" s="11"/>
      <c r="L253" s="12" t="s">
        <v>2473</v>
      </c>
      <c r="M253" s="11"/>
      <c r="N253" s="11"/>
      <c r="O253" s="11"/>
      <c r="P253" s="11"/>
      <c r="Q253" s="11"/>
      <c r="R253" s="11"/>
      <c r="S253" s="11"/>
      <c r="T253" s="11" t="s">
        <v>55</v>
      </c>
      <c r="U253" s="11" t="n">
        <f aca="false">COUNTA(K253:P253)</f>
        <v>1</v>
      </c>
      <c r="V253" s="11" t="s">
        <v>2474</v>
      </c>
      <c r="W253" s="13" t="s">
        <v>2475</v>
      </c>
    </row>
    <row r="254" customFormat="false" ht="15" hidden="false" customHeight="false" outlineLevel="0" collapsed="false">
      <c r="A254" s="11" t="n">
        <v>253</v>
      </c>
      <c r="B254" s="11" t="s">
        <v>2476</v>
      </c>
      <c r="C254" s="11" t="s">
        <v>14</v>
      </c>
      <c r="D254" s="11" t="s">
        <v>1114</v>
      </c>
      <c r="E254" s="11"/>
      <c r="F254" s="11" t="s">
        <v>51</v>
      </c>
      <c r="G254" s="11" t="s">
        <v>1270</v>
      </c>
      <c r="H254" s="11"/>
      <c r="I254" s="11" t="str">
        <f aca="false">IF(OR(G254="Gros",AND(H254&lt;&gt;"",S254="Oui")),"A",IF(OR(G254="Moyen",H254&lt;&gt;""),"B","C"))</f>
        <v>C</v>
      </c>
      <c r="J254" s="11" t="s">
        <v>2477</v>
      </c>
      <c r="K254" s="11"/>
      <c r="L254" s="12" t="s">
        <v>2478</v>
      </c>
      <c r="M254" s="11"/>
      <c r="N254" s="11"/>
      <c r="O254" s="11"/>
      <c r="P254" s="11"/>
      <c r="Q254" s="11"/>
      <c r="R254" s="12" t="s">
        <v>54</v>
      </c>
      <c r="S254" s="11"/>
      <c r="T254" s="11" t="s">
        <v>55</v>
      </c>
      <c r="U254" s="11" t="n">
        <f aca="false">COUNTA(K254:P254)</f>
        <v>1</v>
      </c>
      <c r="V254" s="11" t="s">
        <v>2479</v>
      </c>
      <c r="W254" s="13" t="s">
        <v>2480</v>
      </c>
    </row>
    <row r="255" customFormat="false" ht="15" hidden="false" customHeight="false" outlineLevel="0" collapsed="false">
      <c r="A255" s="11" t="n">
        <v>254</v>
      </c>
      <c r="B255" s="11" t="s">
        <v>2481</v>
      </c>
      <c r="C255" s="11" t="s">
        <v>14</v>
      </c>
      <c r="D255" s="11" t="s">
        <v>1114</v>
      </c>
      <c r="E255" s="11" t="s">
        <v>2482</v>
      </c>
      <c r="F255" s="11" t="s">
        <v>51</v>
      </c>
      <c r="G255" s="11" t="s">
        <v>1270</v>
      </c>
      <c r="H255" s="11"/>
      <c r="I255" s="11" t="str">
        <f aca="false">IF(OR(G255="Gros",AND(H255&lt;&gt;"",S255="Oui")),"A",IF(OR(G255="Moyen",H255&lt;&gt;""),"B","C"))</f>
        <v>C</v>
      </c>
      <c r="J255" s="11" t="s">
        <v>2483</v>
      </c>
      <c r="K255" s="11"/>
      <c r="L255" s="12" t="s">
        <v>2484</v>
      </c>
      <c r="M255" s="11"/>
      <c r="N255" s="11"/>
      <c r="O255" s="11"/>
      <c r="P255" s="11"/>
      <c r="Q255" s="11"/>
      <c r="R255" s="12" t="s">
        <v>54</v>
      </c>
      <c r="S255" s="11"/>
      <c r="T255" s="11" t="s">
        <v>55</v>
      </c>
      <c r="U255" s="11" t="n">
        <f aca="false">COUNTA(K255:P255)</f>
        <v>1</v>
      </c>
      <c r="V255" s="11"/>
      <c r="W255" s="13" t="s">
        <v>2485</v>
      </c>
    </row>
    <row r="256" customFormat="false" ht="15" hidden="false" customHeight="false" outlineLevel="0" collapsed="false">
      <c r="A256" s="11" t="n">
        <v>255</v>
      </c>
      <c r="B256" s="11" t="s">
        <v>2486</v>
      </c>
      <c r="C256" s="11" t="s">
        <v>14</v>
      </c>
      <c r="D256" s="11" t="s">
        <v>1114</v>
      </c>
      <c r="E256" s="11" t="s">
        <v>2487</v>
      </c>
      <c r="F256" s="11" t="s">
        <v>51</v>
      </c>
      <c r="G256" s="11" t="s">
        <v>1270</v>
      </c>
      <c r="H256" s="11"/>
      <c r="I256" s="11" t="str">
        <f aca="false">IF(OR(G256="Gros",AND(H256&lt;&gt;"",S256="Oui")),"A",IF(OR(G256="Moyen",H256&lt;&gt;""),"B","C"))</f>
        <v>C</v>
      </c>
      <c r="J256" s="11" t="s">
        <v>2488</v>
      </c>
      <c r="K256" s="11"/>
      <c r="L256" s="12" t="s">
        <v>2489</v>
      </c>
      <c r="M256" s="11"/>
      <c r="N256" s="12" t="s">
        <v>2490</v>
      </c>
      <c r="O256" s="11"/>
      <c r="P256" s="11"/>
      <c r="Q256" s="11"/>
      <c r="R256" s="12" t="s">
        <v>54</v>
      </c>
      <c r="S256" s="11"/>
      <c r="T256" s="11" t="s">
        <v>55</v>
      </c>
      <c r="U256" s="11" t="n">
        <f aca="false">COUNTA(K256:P256)</f>
        <v>2</v>
      </c>
      <c r="V256" s="11" t="s">
        <v>2491</v>
      </c>
      <c r="W256" s="13" t="s">
        <v>2492</v>
      </c>
    </row>
    <row r="257" customFormat="false" ht="15" hidden="false" customHeight="false" outlineLevel="0" collapsed="false">
      <c r="A257" s="11" t="n">
        <v>256</v>
      </c>
      <c r="B257" s="11" t="s">
        <v>2493</v>
      </c>
      <c r="C257" s="11" t="s">
        <v>14</v>
      </c>
      <c r="D257" s="11" t="s">
        <v>2494</v>
      </c>
      <c r="E257" s="11"/>
      <c r="F257" s="11" t="s">
        <v>452</v>
      </c>
      <c r="G257" s="11" t="s">
        <v>1270</v>
      </c>
      <c r="H257" s="11" t="s">
        <v>2495</v>
      </c>
      <c r="I257" s="11" t="str">
        <f aca="false">IF(OR(G257="Gros",AND(H257&lt;&gt;"",S257="Oui")),"A",IF(OR(G257="Moyen",H257&lt;&gt;""),"B","C"))</f>
        <v>B</v>
      </c>
      <c r="J257" s="11" t="s">
        <v>2410</v>
      </c>
      <c r="K257" s="11"/>
      <c r="L257" s="11"/>
      <c r="M257" s="11"/>
      <c r="N257" s="11"/>
      <c r="O257" s="11"/>
      <c r="P257" s="11"/>
      <c r="Q257" s="11" t="s">
        <v>1123</v>
      </c>
      <c r="R257" s="11"/>
      <c r="S257" s="11"/>
      <c r="T257" s="11" t="s">
        <v>55</v>
      </c>
      <c r="U257" s="11" t="n">
        <f aca="false">COUNTA(K257:P257)</f>
        <v>0</v>
      </c>
      <c r="V257" s="11"/>
      <c r="W257" s="13" t="s">
        <v>2496</v>
      </c>
    </row>
    <row r="258" customFormat="false" ht="15" hidden="false" customHeight="false" outlineLevel="0" collapsed="false">
      <c r="A258" s="11" t="n">
        <v>257</v>
      </c>
      <c r="B258" s="11" t="s">
        <v>2497</v>
      </c>
      <c r="C258" s="11" t="s">
        <v>14</v>
      </c>
      <c r="D258" s="11"/>
      <c r="E258" s="11"/>
      <c r="F258" s="11" t="s">
        <v>389</v>
      </c>
      <c r="G258" s="11" t="s">
        <v>1402</v>
      </c>
      <c r="H258" s="11"/>
      <c r="I258" s="11" t="str">
        <f aca="false">IF(OR(G258="Gros",AND(H258&lt;&gt;"",S258="Oui")),"A",IF(OR(G258="Moyen",H258&lt;&gt;""),"B","C"))</f>
        <v>C</v>
      </c>
      <c r="J258" s="11" t="s">
        <v>2498</v>
      </c>
      <c r="K258" s="12" t="s">
        <v>2499</v>
      </c>
      <c r="L258" s="11"/>
      <c r="M258" s="11"/>
      <c r="N258" s="11"/>
      <c r="O258" s="11"/>
      <c r="P258" s="11"/>
      <c r="Q258" s="11"/>
      <c r="R258" s="11"/>
      <c r="S258" s="11"/>
      <c r="T258" s="11" t="s">
        <v>73</v>
      </c>
      <c r="U258" s="11" t="n">
        <f aca="false">COUNTA(K258:P258)</f>
        <v>1</v>
      </c>
      <c r="V258" s="11" t="s">
        <v>2500</v>
      </c>
      <c r="W258" s="13" t="s">
        <v>2501</v>
      </c>
    </row>
    <row r="259" customFormat="false" ht="15" hidden="false" customHeight="false" outlineLevel="0" collapsed="false">
      <c r="A259" s="11" t="n">
        <v>258</v>
      </c>
      <c r="B259" s="11" t="s">
        <v>2502</v>
      </c>
      <c r="C259" s="11" t="s">
        <v>14</v>
      </c>
      <c r="D259" s="11"/>
      <c r="E259" s="11"/>
      <c r="F259" s="11" t="s">
        <v>452</v>
      </c>
      <c r="G259" s="11" t="s">
        <v>1402</v>
      </c>
      <c r="H259" s="11"/>
      <c r="I259" s="11" t="str">
        <f aca="false">IF(OR(G259="Gros",AND(H259&lt;&gt;"",S259="Oui")),"A",IF(OR(G259="Moyen",H259&lt;&gt;""),"B","C"))</f>
        <v>C</v>
      </c>
      <c r="J259" s="11" t="s">
        <v>2503</v>
      </c>
      <c r="K259" s="11"/>
      <c r="L259" s="11"/>
      <c r="M259" s="11"/>
      <c r="N259" s="11"/>
      <c r="O259" s="11"/>
      <c r="P259" s="11"/>
      <c r="Q259" s="11" t="s">
        <v>2504</v>
      </c>
      <c r="R259" s="11"/>
      <c r="S259" s="11"/>
      <c r="T259" s="11" t="s">
        <v>55</v>
      </c>
      <c r="U259" s="11" t="n">
        <f aca="false">COUNTA(K259:P259)</f>
        <v>0</v>
      </c>
      <c r="V259" s="11" t="s">
        <v>2505</v>
      </c>
      <c r="W259" s="13" t="s">
        <v>2506</v>
      </c>
    </row>
    <row r="260" customFormat="false" ht="15" hidden="false" customHeight="false" outlineLevel="0" collapsed="false">
      <c r="A260" s="11" t="n">
        <v>259</v>
      </c>
      <c r="B260" s="11" t="s">
        <v>2507</v>
      </c>
      <c r="C260" s="11" t="s">
        <v>14</v>
      </c>
      <c r="D260" s="11"/>
      <c r="E260" s="11"/>
      <c r="F260" s="11" t="s">
        <v>51</v>
      </c>
      <c r="G260" s="11" t="s">
        <v>1402</v>
      </c>
      <c r="H260" s="11"/>
      <c r="I260" s="11" t="str">
        <f aca="false">IF(OR(G260="Gros",AND(H260&lt;&gt;"",S260="Oui")),"A",IF(OR(G260="Moyen",H260&lt;&gt;""),"B","C"))</f>
        <v>C</v>
      </c>
      <c r="J260" s="11" t="s">
        <v>2508</v>
      </c>
      <c r="K260" s="11"/>
      <c r="L260" s="11"/>
      <c r="M260" s="11"/>
      <c r="N260" s="11"/>
      <c r="O260" s="11"/>
      <c r="P260" s="11"/>
      <c r="Q260" s="11"/>
      <c r="R260" s="12" t="s">
        <v>54</v>
      </c>
      <c r="S260" s="11"/>
      <c r="T260" s="11" t="s">
        <v>73</v>
      </c>
      <c r="U260" s="11" t="n">
        <f aca="false">COUNTA(K260:P260)</f>
        <v>0</v>
      </c>
      <c r="V260" s="11" t="s">
        <v>2509</v>
      </c>
      <c r="W260" s="13" t="s">
        <v>2510</v>
      </c>
    </row>
    <row r="261" customFormat="false" ht="15" hidden="false" customHeight="false" outlineLevel="0" collapsed="false">
      <c r="A261" s="11" t="n">
        <v>260</v>
      </c>
      <c r="B261" s="11" t="s">
        <v>2511</v>
      </c>
      <c r="C261" s="11" t="s">
        <v>14</v>
      </c>
      <c r="D261" s="11"/>
      <c r="E261" s="11"/>
      <c r="F261" s="11" t="s">
        <v>133</v>
      </c>
      <c r="G261" s="11" t="s">
        <v>1402</v>
      </c>
      <c r="H261" s="11" t="s">
        <v>2512</v>
      </c>
      <c r="I261" s="11" t="str">
        <f aca="false">IF(OR(G261="Gros",AND(H261&lt;&gt;"",S261="Oui")),"A",IF(OR(G261="Moyen",H261&lt;&gt;""),"B","C"))</f>
        <v>B</v>
      </c>
      <c r="J261" s="11" t="s">
        <v>2513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 t="s">
        <v>55</v>
      </c>
      <c r="U261" s="11" t="n">
        <f aca="false">COUNTA(K261:P261)</f>
        <v>0</v>
      </c>
      <c r="V261" s="11"/>
      <c r="W261" s="13" t="s">
        <v>2514</v>
      </c>
    </row>
    <row r="262" customFormat="false" ht="15" hidden="false" customHeight="false" outlineLevel="0" collapsed="false">
      <c r="A262" s="11" t="n">
        <v>261</v>
      </c>
      <c r="B262" s="11" t="s">
        <v>2515</v>
      </c>
      <c r="C262" s="11" t="s">
        <v>14</v>
      </c>
      <c r="D262" s="11"/>
      <c r="E262" s="11"/>
      <c r="F262" s="11" t="s">
        <v>122</v>
      </c>
      <c r="G262" s="11" t="s">
        <v>1402</v>
      </c>
      <c r="H262" s="11"/>
      <c r="I262" s="11" t="str">
        <f aca="false">IF(OR(G262="Gros",AND(H262&lt;&gt;"",S262="Oui")),"A",IF(OR(G262="Moyen",H262&lt;&gt;""),"B","C"))</f>
        <v>C</v>
      </c>
      <c r="J262" s="11" t="s">
        <v>2516</v>
      </c>
      <c r="K262" s="11"/>
      <c r="L262" s="11"/>
      <c r="M262" s="11"/>
      <c r="N262" s="11"/>
      <c r="O262" s="11"/>
      <c r="P262" s="11"/>
      <c r="Q262" s="11"/>
      <c r="R262" s="12" t="s">
        <v>54</v>
      </c>
      <c r="S262" s="11"/>
      <c r="T262" s="11" t="s">
        <v>73</v>
      </c>
      <c r="U262" s="11" t="n">
        <f aca="false">COUNTA(K262:P262)</f>
        <v>0</v>
      </c>
      <c r="V262" s="11" t="s">
        <v>2517</v>
      </c>
      <c r="W262" s="13" t="s">
        <v>2510</v>
      </c>
    </row>
    <row r="263" customFormat="false" ht="15" hidden="false" customHeight="false" outlineLevel="0" collapsed="false">
      <c r="A263" s="11" t="n">
        <v>262</v>
      </c>
      <c r="B263" s="11" t="s">
        <v>2518</v>
      </c>
      <c r="C263" s="11" t="s">
        <v>14</v>
      </c>
      <c r="D263" s="11"/>
      <c r="E263" s="11"/>
      <c r="F263" s="11" t="s">
        <v>122</v>
      </c>
      <c r="G263" s="11" t="s">
        <v>1402</v>
      </c>
      <c r="H263" s="11"/>
      <c r="I263" s="11" t="str">
        <f aca="false">IF(OR(G263="Gros",AND(H263&lt;&gt;"",S263="Oui")),"A",IF(OR(G263="Moyen",H263&lt;&gt;""),"B","C"))</f>
        <v>C</v>
      </c>
      <c r="J263" s="11" t="s">
        <v>2519</v>
      </c>
      <c r="K263" s="11"/>
      <c r="L263" s="12" t="s">
        <v>2520</v>
      </c>
      <c r="M263" s="11"/>
      <c r="N263" s="11"/>
      <c r="O263" s="11"/>
      <c r="P263" s="11"/>
      <c r="Q263" s="11"/>
      <c r="R263" s="12" t="s">
        <v>54</v>
      </c>
      <c r="S263" s="11"/>
      <c r="T263" s="11" t="s">
        <v>55</v>
      </c>
      <c r="U263" s="11" t="n">
        <f aca="false">COUNTA(K263:P263)</f>
        <v>1</v>
      </c>
      <c r="V263" s="11" t="s">
        <v>2521</v>
      </c>
      <c r="W263" s="13" t="s">
        <v>2522</v>
      </c>
    </row>
    <row r="264" customFormat="false" ht="15" hidden="false" customHeight="false" outlineLevel="0" collapsed="false">
      <c r="A264" s="11" t="n">
        <v>263</v>
      </c>
      <c r="B264" s="11" t="s">
        <v>2523</v>
      </c>
      <c r="C264" s="11" t="s">
        <v>14</v>
      </c>
      <c r="D264" s="11" t="s">
        <v>980</v>
      </c>
      <c r="E264" s="11"/>
      <c r="F264" s="11" t="s">
        <v>133</v>
      </c>
      <c r="G264" s="11" t="s">
        <v>1402</v>
      </c>
      <c r="H264" s="11"/>
      <c r="I264" s="11" t="str">
        <f aca="false">IF(OR(G264="Gros",AND(H264&lt;&gt;"",S264="Oui")),"A",IF(OR(G264="Moyen",H264&lt;&gt;""),"B","C"))</f>
        <v>C</v>
      </c>
      <c r="J264" s="11" t="s">
        <v>2524</v>
      </c>
      <c r="K264" s="11"/>
      <c r="L264" s="12" t="s">
        <v>2525</v>
      </c>
      <c r="M264" s="11"/>
      <c r="N264" s="11"/>
      <c r="O264" s="11"/>
      <c r="P264" s="11"/>
      <c r="Q264" s="11"/>
      <c r="R264" s="11"/>
      <c r="S264" s="11"/>
      <c r="T264" s="11" t="s">
        <v>55</v>
      </c>
      <c r="U264" s="11" t="n">
        <f aca="false">COUNTA(K264:P264)</f>
        <v>1</v>
      </c>
      <c r="V264" s="11" t="s">
        <v>2526</v>
      </c>
      <c r="W264" s="13" t="s">
        <v>2527</v>
      </c>
    </row>
    <row r="265" customFormat="false" ht="15" hidden="false" customHeight="false" outlineLevel="0" collapsed="false">
      <c r="A265" s="11" t="n">
        <v>264</v>
      </c>
      <c r="B265" s="11" t="s">
        <v>2528</v>
      </c>
      <c r="C265" s="11" t="s">
        <v>14</v>
      </c>
      <c r="D265" s="11" t="s">
        <v>980</v>
      </c>
      <c r="E265" s="11"/>
      <c r="F265" s="11" t="s">
        <v>133</v>
      </c>
      <c r="G265" s="11" t="s">
        <v>1402</v>
      </c>
      <c r="H265" s="11"/>
      <c r="I265" s="11" t="str">
        <f aca="false">IF(OR(G265="Gros",AND(H265&lt;&gt;"",S265="Oui")),"A",IF(OR(G265="Moyen",H265&lt;&gt;""),"B","C"))</f>
        <v>C</v>
      </c>
      <c r="J265" s="11" t="s">
        <v>2529</v>
      </c>
      <c r="K265" s="11"/>
      <c r="L265" s="12" t="s">
        <v>2530</v>
      </c>
      <c r="M265" s="11"/>
      <c r="N265" s="11"/>
      <c r="O265" s="11"/>
      <c r="P265" s="11"/>
      <c r="Q265" s="11"/>
      <c r="R265" s="11"/>
      <c r="S265" s="11"/>
      <c r="T265" s="11" t="s">
        <v>55</v>
      </c>
      <c r="U265" s="11" t="n">
        <f aca="false">COUNTA(K265:P265)</f>
        <v>1</v>
      </c>
      <c r="V265" s="11" t="s">
        <v>2531</v>
      </c>
      <c r="W265" s="13" t="s">
        <v>2532</v>
      </c>
    </row>
    <row r="266" customFormat="false" ht="15" hidden="false" customHeight="false" outlineLevel="0" collapsed="false">
      <c r="A266" s="11" t="n">
        <v>265</v>
      </c>
      <c r="B266" s="11" t="s">
        <v>2533</v>
      </c>
      <c r="C266" s="11" t="s">
        <v>14</v>
      </c>
      <c r="D266" s="11" t="s">
        <v>2264</v>
      </c>
      <c r="E266" s="11" t="s">
        <v>2534</v>
      </c>
      <c r="F266" s="11" t="s">
        <v>51</v>
      </c>
      <c r="G266" s="11" t="s">
        <v>1402</v>
      </c>
      <c r="H266" s="11"/>
      <c r="I266" s="11" t="str">
        <f aca="false">IF(OR(G266="Gros",AND(H266&lt;&gt;"",S266="Oui")),"A",IF(OR(G266="Moyen",H266&lt;&gt;""),"B","C"))</f>
        <v>C</v>
      </c>
      <c r="J266" s="11" t="s">
        <v>2535</v>
      </c>
      <c r="K266" s="11"/>
      <c r="L266" s="12" t="s">
        <v>2536</v>
      </c>
      <c r="M266" s="11"/>
      <c r="N266" s="11"/>
      <c r="O266" s="11"/>
      <c r="P266" s="11"/>
      <c r="Q266" s="11"/>
      <c r="R266" s="12" t="s">
        <v>54</v>
      </c>
      <c r="S266" s="11"/>
      <c r="T266" s="11" t="s">
        <v>55</v>
      </c>
      <c r="U266" s="11" t="n">
        <f aca="false">COUNTA(K266:P266)</f>
        <v>1</v>
      </c>
      <c r="V266" s="11" t="s">
        <v>2537</v>
      </c>
      <c r="W266" s="13" t="s">
        <v>2538</v>
      </c>
    </row>
    <row r="267" customFormat="false" ht="15" hidden="false" customHeight="false" outlineLevel="0" collapsed="false">
      <c r="A267" s="11" t="n">
        <v>266</v>
      </c>
      <c r="B267" s="11" t="s">
        <v>2539</v>
      </c>
      <c r="C267" s="11" t="s">
        <v>14</v>
      </c>
      <c r="D267" s="11" t="s">
        <v>2264</v>
      </c>
      <c r="E267" s="11" t="s">
        <v>2540</v>
      </c>
      <c r="F267" s="11" t="s">
        <v>51</v>
      </c>
      <c r="G267" s="11" t="s">
        <v>1402</v>
      </c>
      <c r="H267" s="11"/>
      <c r="I267" s="11" t="str">
        <f aca="false">IF(OR(G267="Gros",AND(H267&lt;&gt;"",S267="Oui")),"A",IF(OR(G267="Moyen",H267&lt;&gt;""),"B","C"))</f>
        <v>C</v>
      </c>
      <c r="J267" s="11" t="s">
        <v>2541</v>
      </c>
      <c r="K267" s="11"/>
      <c r="L267" s="11"/>
      <c r="M267" s="11"/>
      <c r="N267" s="11"/>
      <c r="O267" s="11"/>
      <c r="P267" s="11"/>
      <c r="Q267" s="11"/>
      <c r="R267" s="12" t="s">
        <v>54</v>
      </c>
      <c r="S267" s="11"/>
      <c r="T267" s="11" t="s">
        <v>55</v>
      </c>
      <c r="U267" s="11" t="n">
        <f aca="false">COUNTA(K267:P267)</f>
        <v>0</v>
      </c>
      <c r="V267" s="11" t="s">
        <v>2542</v>
      </c>
      <c r="W267" s="13" t="s">
        <v>2543</v>
      </c>
    </row>
    <row r="268" customFormat="false" ht="15" hidden="false" customHeight="false" outlineLevel="0" collapsed="false">
      <c r="A268" s="11" t="n">
        <v>267</v>
      </c>
      <c r="B268" s="11" t="s">
        <v>2544</v>
      </c>
      <c r="C268" s="11" t="s">
        <v>14</v>
      </c>
      <c r="D268" s="11" t="s">
        <v>2422</v>
      </c>
      <c r="E268" s="11" t="s">
        <v>2545</v>
      </c>
      <c r="F268" s="11" t="s">
        <v>51</v>
      </c>
      <c r="G268" s="11" t="s">
        <v>1402</v>
      </c>
      <c r="H268" s="11"/>
      <c r="I268" s="11" t="str">
        <f aca="false">IF(OR(G268="Gros",AND(H268&lt;&gt;"",S268="Oui")),"A",IF(OR(G268="Moyen",H268&lt;&gt;""),"B","C"))</f>
        <v>C</v>
      </c>
      <c r="J268" s="11" t="s">
        <v>2546</v>
      </c>
      <c r="K268" s="11"/>
      <c r="L268" s="11"/>
      <c r="M268" s="11"/>
      <c r="N268" s="11"/>
      <c r="O268" s="11"/>
      <c r="P268" s="11"/>
      <c r="Q268" s="11"/>
      <c r="R268" s="12" t="s">
        <v>54</v>
      </c>
      <c r="S268" s="11"/>
      <c r="T268" s="11" t="s">
        <v>55</v>
      </c>
      <c r="U268" s="11" t="n">
        <f aca="false">COUNTA(K268:P268)</f>
        <v>0</v>
      </c>
      <c r="V268" s="11" t="s">
        <v>2542</v>
      </c>
      <c r="W268" s="13" t="s">
        <v>2543</v>
      </c>
    </row>
    <row r="269" customFormat="false" ht="15" hidden="false" customHeight="false" outlineLevel="0" collapsed="false">
      <c r="A269" s="11" t="n">
        <v>268</v>
      </c>
      <c r="B269" s="11" t="s">
        <v>2547</v>
      </c>
      <c r="C269" s="11" t="s">
        <v>14</v>
      </c>
      <c r="D269" s="11" t="s">
        <v>2548</v>
      </c>
      <c r="E269" s="11"/>
      <c r="F269" s="11" t="s">
        <v>452</v>
      </c>
      <c r="G269" s="11" t="s">
        <v>1402</v>
      </c>
      <c r="H269" s="11"/>
      <c r="I269" s="11" t="str">
        <f aca="false">IF(OR(G269="Gros",AND(H269&lt;&gt;"",S269="Oui")),"A",IF(OR(G269="Moyen",H269&lt;&gt;""),"B","C"))</f>
        <v>C</v>
      </c>
      <c r="J269" s="11" t="s">
        <v>1355</v>
      </c>
      <c r="K269" s="11"/>
      <c r="L269" s="11"/>
      <c r="M269" s="11"/>
      <c r="N269" s="11"/>
      <c r="O269" s="11"/>
      <c r="P269" s="11"/>
      <c r="Q269" s="11" t="s">
        <v>2549</v>
      </c>
      <c r="R269" s="11"/>
      <c r="S269" s="11"/>
      <c r="T269" s="11" t="s">
        <v>55</v>
      </c>
      <c r="U269" s="11" t="n">
        <f aca="false">COUNTA(K269:P269)</f>
        <v>0</v>
      </c>
      <c r="V269" s="11" t="s">
        <v>2550</v>
      </c>
      <c r="W269" s="13" t="s">
        <v>2551</v>
      </c>
    </row>
    <row r="270" customFormat="false" ht="15" hidden="false" customHeight="false" outlineLevel="0" collapsed="false">
      <c r="A270" s="11" t="n">
        <v>269</v>
      </c>
      <c r="B270" s="11" t="s">
        <v>2552</v>
      </c>
      <c r="C270" s="11" t="s">
        <v>14</v>
      </c>
      <c r="D270" s="11" t="s">
        <v>1114</v>
      </c>
      <c r="E270" s="11" t="s">
        <v>2553</v>
      </c>
      <c r="F270" s="11" t="s">
        <v>51</v>
      </c>
      <c r="G270" s="11" t="s">
        <v>1402</v>
      </c>
      <c r="H270" s="11"/>
      <c r="I270" s="11" t="str">
        <f aca="false">IF(OR(G270="Gros",AND(H270&lt;&gt;"",S270="Oui")),"A",IF(OR(G270="Moyen",H270&lt;&gt;""),"B","C"))</f>
        <v>C</v>
      </c>
      <c r="J270" s="11" t="s">
        <v>1583</v>
      </c>
      <c r="K270" s="11"/>
      <c r="L270" s="12" t="s">
        <v>2554</v>
      </c>
      <c r="M270" s="11"/>
      <c r="N270" s="11"/>
      <c r="O270" s="11"/>
      <c r="P270" s="11"/>
      <c r="Q270" s="11"/>
      <c r="R270" s="12" t="s">
        <v>54</v>
      </c>
      <c r="S270" s="11"/>
      <c r="T270" s="11" t="s">
        <v>55</v>
      </c>
      <c r="U270" s="11" t="n">
        <f aca="false">COUNTA(K270:P270)</f>
        <v>1</v>
      </c>
      <c r="V270" s="11" t="s">
        <v>2555</v>
      </c>
      <c r="W270" s="13" t="s">
        <v>2556</v>
      </c>
    </row>
    <row r="271" customFormat="false" ht="15" hidden="false" customHeight="false" outlineLevel="0" collapsed="false">
      <c r="A271" s="11" t="n">
        <v>270</v>
      </c>
      <c r="B271" s="11" t="s">
        <v>2557</v>
      </c>
      <c r="C271" s="11" t="s">
        <v>14</v>
      </c>
      <c r="D271" s="11" t="s">
        <v>2558</v>
      </c>
      <c r="E271" s="11"/>
      <c r="F271" s="11" t="s">
        <v>51</v>
      </c>
      <c r="G271" s="11" t="s">
        <v>1402</v>
      </c>
      <c r="H271" s="11"/>
      <c r="I271" s="11" t="str">
        <f aca="false">IF(OR(G271="Gros",AND(H271&lt;&gt;"",S271="Oui")),"A",IF(OR(G271="Moyen",H271&lt;&gt;""),"B","C"))</f>
        <v>C</v>
      </c>
      <c r="J271" s="11" t="s">
        <v>2559</v>
      </c>
      <c r="K271" s="11"/>
      <c r="L271" s="12" t="s">
        <v>2560</v>
      </c>
      <c r="M271" s="11"/>
      <c r="N271" s="11"/>
      <c r="O271" s="11"/>
      <c r="P271" s="11"/>
      <c r="Q271" s="11"/>
      <c r="R271" s="12" t="s">
        <v>54</v>
      </c>
      <c r="S271" s="11"/>
      <c r="T271" s="11" t="s">
        <v>55</v>
      </c>
      <c r="U271" s="11" t="n">
        <f aca="false">COUNTA(K271:P271)</f>
        <v>1</v>
      </c>
      <c r="V271" s="11" t="s">
        <v>2555</v>
      </c>
      <c r="W271" s="13" t="s">
        <v>2561</v>
      </c>
    </row>
    <row r="272" customFormat="false" ht="15" hidden="false" customHeight="false" outlineLevel="0" collapsed="false">
      <c r="A272" s="11" t="n">
        <v>271</v>
      </c>
      <c r="B272" s="11" t="s">
        <v>2562</v>
      </c>
      <c r="C272" s="11" t="s">
        <v>14</v>
      </c>
      <c r="D272" s="11" t="s">
        <v>1142</v>
      </c>
      <c r="E272" s="11"/>
      <c r="F272" s="11" t="s">
        <v>133</v>
      </c>
      <c r="G272" s="11" t="s">
        <v>1402</v>
      </c>
      <c r="H272" s="11"/>
      <c r="I272" s="11" t="str">
        <f aca="false">IF(OR(G272="Gros",AND(H272&lt;&gt;"",S272="Oui")),"A",IF(OR(G272="Moyen",H272&lt;&gt;""),"B","C"))</f>
        <v>C</v>
      </c>
      <c r="J272" s="11" t="s">
        <v>2563</v>
      </c>
      <c r="K272" s="11"/>
      <c r="L272" s="12" t="s">
        <v>2564</v>
      </c>
      <c r="M272" s="11"/>
      <c r="N272" s="11"/>
      <c r="O272" s="11"/>
      <c r="P272" s="11"/>
      <c r="Q272" s="11"/>
      <c r="R272" s="11"/>
      <c r="S272" s="11"/>
      <c r="T272" s="11" t="s">
        <v>55</v>
      </c>
      <c r="U272" s="11" t="n">
        <f aca="false">COUNTA(K272:P272)</f>
        <v>1</v>
      </c>
      <c r="V272" s="11" t="s">
        <v>2565</v>
      </c>
      <c r="W272" s="13" t="s">
        <v>2566</v>
      </c>
    </row>
  </sheetData>
  <hyperlinks>
    <hyperlink ref="W2" r:id="rId1" display="https://www.brandbuffet.in.th/?p=28007"/>
    <hyperlink ref="R3" r:id="rId2" display="Rechercher sur Maps"/>
    <hyperlink ref="W3" r:id="rId3" display="https://www.marketingoops.com/?p=290143 | https://www.marketingoops.com/?p=360729 | https://www.brandbuffet.in.th/?p=28007 | https://www.lemon8-app.com/@cattymeaw5/7359393930313646609?region=th"/>
    <hyperlink ref="L4" r:id="rId4" display="https://www.instagram.com/cardworld.bkk"/>
    <hyperlink ref="R4" r:id="rId5" display="Rechercher sur Maps"/>
    <hyperlink ref="W4" r:id="rId6" display="https://tcgtalk.com/guides/tcg-shops-thailand | https://tcgtalk.com/guides/thailand-pokemon-tradeshows-2026 | https://www.instagram.com/cardworld.bkk/ | https://www.lemon8-app.com/@white8z/7619997728135561749?region=th"/>
    <hyperlink ref="R5" r:id="rId7" display="Rechercher sur Maps"/>
    <hyperlink ref="W5" r:id="rId8" display="https://tcgtalk.com/guides/tcg-shops-thailand | https://tcgtalk.com/guides/thailand-pokemon-tradeshows-2026"/>
    <hyperlink ref="M6" r:id="rId9" display="https://www.facebook.com/PokemonThailand"/>
    <hyperlink ref="R6" r:id="rId10" display="Rechercher sur Maps"/>
    <hyperlink ref="W6" r:id="rId11" display="https://bulbapedia.bulbagarden.net/wiki/Pok%C3%A9mon_Center_Bangkok | https://www.khaosodenglish.com/life/arts/2026/05/05/thailand-to-get-first-pokemon-center-at-centralworld-in-2026/ | https://sasom.co.th/articles/pok-mon-centre-bangkok-centralworld--thailand-s-first-store-and-the-largest-outside-japan-20260517 | https://www.elitefourum.com/t/pokemon-center-bangkok-to-open-in-2026/62263"/>
    <hyperlink ref="M7" r:id="rId12" display="https://www.facebook.com/pikatrading.th"/>
    <hyperlink ref="W7" r:id="rId13" display="https://www.facebook.com/pikatrading.th/ | https://www.lazada.co.th/products/pokemon-booster-pack-sv11s-pokemon-tcg-thai-version-i5799251164.html"/>
    <hyperlink ref="R8" r:id="rId14" display="Rechercher sur Maps"/>
    <hyperlink ref="W8" r:id="rId15" display="https://www.lemon8-app.com/@pommeptr/7319060185409044994?region=us"/>
    <hyperlink ref="R9" r:id="rId16" display="Rechercher sur Maps"/>
    <hyperlink ref="W9" r:id="rId17" display="https://tcgtalk.com/guides/tcg-shops-thailand"/>
    <hyperlink ref="L10" r:id="rId18" display="https://www.instagram.com/nutcard.th"/>
    <hyperlink ref="M10" r:id="rId19" display="https://www.facebook.com/NutCardTCG"/>
    <hyperlink ref="R10" r:id="rId20" display="Rechercher sur Maps"/>
    <hyperlink ref="W10" r:id="rId21" display="https://tcgtalk.com/guides/tcg-shops-thailand | https://www.facebook.com/NutCardTCG/ | https://www.instagram.com/nutcard.th/"/>
    <hyperlink ref="R11" r:id="rId22" display="Rechercher sur Maps"/>
    <hyperlink ref="W11" r:id="rId23" display="https://www.lemon8-app.com/@bearcarecard/7409195085017498128?region=us"/>
    <hyperlink ref="K12" r:id="rId24" display="https://vgcardshop.com"/>
    <hyperlink ref="M12" r:id="rId25" display="https://www.facebook.com/vgcardshop"/>
    <hyperlink ref="R12" r:id="rId26" display="Rechercher sur Maps"/>
    <hyperlink ref="W12" r:id="rId27" display="https://www.facebook.com/vgcardshop/"/>
    <hyperlink ref="M13" r:id="rId28" display="https://www.facebook.com/captaincards"/>
    <hyperlink ref="R13" r:id="rId29" display="Rechercher sur Maps"/>
    <hyperlink ref="W13" r:id="rId30" display="https://www.facebook.com/captaincards/"/>
    <hyperlink ref="M14" r:id="rId31" display="https://www.facebook.com/nxgalleryeast"/>
    <hyperlink ref="R14" r:id="rId32" display="Rechercher sur Maps"/>
    <hyperlink ref="W14" r:id="rId33" display="https://www.facebook.com/nxgalleryeast/"/>
    <hyperlink ref="M15" r:id="rId34" display="https://www.facebook.com/cutieland.bypoko"/>
    <hyperlink ref="W15" r:id="rId35" display="https://www.facebook.com/cutieland.bypoko/"/>
    <hyperlink ref="L16" r:id="rId36" display="https://www.instagram.com/thai_pkmn"/>
    <hyperlink ref="W16" r:id="rId37" display="https://www.instagram.com/thai_pkmn/"/>
    <hyperlink ref="M17" r:id="rId38" display="https://www.facebook.com/VictoryCardShop"/>
    <hyperlink ref="R17" r:id="rId39" display="Rechercher sur Maps"/>
    <hyperlink ref="W17" r:id="rId40" display="https://www.facebook.com/VictoryCardShop/"/>
    <hyperlink ref="M18" r:id="rId41" display="https://www.facebook.com/SKC3846"/>
    <hyperlink ref="R18" r:id="rId42" display="Rechercher sur Maps"/>
    <hyperlink ref="W18" r:id="rId43" display="https://www.facebook.com/SKC3846/"/>
    <hyperlink ref="R19" r:id="rId44" display="Rechercher sur Maps"/>
    <hyperlink ref="W19" r:id="rId45" display="https://tcgtalk.com/guides/tcg-shops-thailand"/>
    <hyperlink ref="M20" r:id="rId46" display="https://www.facebook.com/glcardshop"/>
    <hyperlink ref="R20" r:id="rId47" display="Rechercher sur Maps"/>
    <hyperlink ref="W20" r:id="rId48" display="https://www.facebook.com/glcardshop/"/>
    <hyperlink ref="L21" r:id="rId49" display="https://www.instagram.com/novatcg.thailand"/>
    <hyperlink ref="R21" r:id="rId50" display="Rechercher sur Maps"/>
    <hyperlink ref="W21" r:id="rId51" display="https://tcgtalk.com/guides/tcg-shops-thailand | https://www.instagram.com/novatcg.thailand/"/>
    <hyperlink ref="M22" r:id="rId52" display="https://www.facebook.com/ProcardTCG"/>
    <hyperlink ref="R22" r:id="rId53" display="Rechercher sur Maps"/>
    <hyperlink ref="W22" r:id="rId54" display="https://www.facebook.com/ProcardTCG/"/>
    <hyperlink ref="M23" r:id="rId55" display="https://www.facebook.com/Sedai4.5"/>
    <hyperlink ref="R23" r:id="rId56" display="Rechercher sur Maps"/>
    <hyperlink ref="W23" r:id="rId57" display="https://www.facebook.com/Sedai4.5"/>
    <hyperlink ref="M24" r:id="rId58" display="https://www.facebook.com/sitandplay.game"/>
    <hyperlink ref="R24" r:id="rId59" display="Rechercher sur Maps"/>
    <hyperlink ref="W24" r:id="rId60" display="https://www.facebook.com/sitandplay.game/"/>
    <hyperlink ref="M25" r:id="rId61" display="https://www.facebook.com/TheCardShopTH"/>
    <hyperlink ref="R25" r:id="rId62" display="Rechercher sur Maps"/>
    <hyperlink ref="W25" r:id="rId63" display="https://www.facebook.com/TheCardShopTH/"/>
    <hyperlink ref="M26" r:id="rId64" display="https://www.facebook.com/tmcardshop"/>
    <hyperlink ref="R26" r:id="rId65" display="Rechercher sur Maps"/>
    <hyperlink ref="W26" r:id="rId66" display="https://www.facebook.com/tmcardshop/"/>
    <hyperlink ref="M27" r:id="rId67" display="https://www.facebook.com/wuwamcardshop"/>
    <hyperlink ref="R27" r:id="rId68" display="Rechercher sur Maps"/>
    <hyperlink ref="W27" r:id="rId69" display="https://www.facebook.com/wuwamcardshop/"/>
    <hyperlink ref="M28" r:id="rId70" display="https://www.facebook.com/TAMACardBuriram"/>
    <hyperlink ref="R28" r:id="rId71" display="Rechercher sur Maps"/>
    <hyperlink ref="W28" r:id="rId72" display="https://www.facebook.com/TAMACardBuriram/"/>
    <hyperlink ref="L29" r:id="rId73" display="https://www.instagram.com/pncardgames"/>
    <hyperlink ref="M29" r:id="rId74" display="https://www.facebook.com/PNCardGames"/>
    <hyperlink ref="R29" r:id="rId75" display="Rechercher sur Maps"/>
    <hyperlink ref="W29" r:id="rId76" display="https://www.instagram.com/pncardgames/ | https://www.facebook.com/PNCardGames/"/>
    <hyperlink ref="M30" r:id="rId77" display="https://www.facebook.com/nkcardhatyai"/>
    <hyperlink ref="R30" r:id="rId78" display="Rechercher sur Maps"/>
    <hyperlink ref="W30" r:id="rId79" display="https://www.facebook.com/nkcardhatyai/"/>
    <hyperlink ref="R31" r:id="rId80" display="Rechercher sur Maps"/>
    <hyperlink ref="W31" r:id="rId81" display="https://tcgtalk.com/guides/tcg-shops-thailand"/>
    <hyperlink ref="M32" r:id="rId82" display="https://www.facebook.com/DonburiShopkhonkaen"/>
    <hyperlink ref="R32" r:id="rId83" display="Rechercher sur Maps"/>
    <hyperlink ref="W32" r:id="rId84" display="https://www.facebook.com/DonburiShopkhonkaen"/>
    <hyperlink ref="M33" r:id="rId85" display="https://www.facebook.com/p/Iconic-Trading-card-game-61576280130672"/>
    <hyperlink ref="W33" r:id="rId86" display="https://www.facebook.com/p/Iconic-Trading-card-game-61576280130672/"/>
    <hyperlink ref="M34" r:id="rId87" display="https://www.facebook.com/TrickRoomCardShop"/>
    <hyperlink ref="R34" r:id="rId88" display="Rechercher sur Maps"/>
    <hyperlink ref="W34" r:id="rId89" display="https://www.facebook.com/TrickRoomCardShop/"/>
    <hyperlink ref="M35" r:id="rId90" display="https://www.facebook.com/p/D-day-card-100063579728865"/>
    <hyperlink ref="R35" r:id="rId91" display="Rechercher sur Maps"/>
    <hyperlink ref="W35" r:id="rId92" display="https://www.facebook.com/p/D-day-card-100063579728865/"/>
    <hyperlink ref="M36" r:id="rId93" display="https://www.facebook.com/p/TCGIgnition-100079263833060"/>
    <hyperlink ref="R36" r:id="rId94" display="Rechercher sur Maps"/>
    <hyperlink ref="W36" r:id="rId95" display="https://www.facebook.com/p/TCGIgnition-100079263833060/"/>
    <hyperlink ref="M37" r:id="rId96" display="https://www.facebook.com/p/BLACK-CARD-TCG-61583179858522"/>
    <hyperlink ref="R37" r:id="rId97" display="Rechercher sur Maps"/>
    <hyperlink ref="W37" r:id="rId98" display="https://www.facebook.com/p/BLACK-CARD-TCG-61583179858522/"/>
    <hyperlink ref="M38" r:id="rId99" display="https://www.facebook.com/BooMCardGames"/>
    <hyperlink ref="R38" r:id="rId100" display="Rechercher sur Maps"/>
    <hyperlink ref="W38" r:id="rId101" display="https://www.facebook.com/BooMCardGames/"/>
    <hyperlink ref="M39" r:id="rId102" display="https://www.facebook.com/p/AE-%E0%B8%9A%E0%B8%B8%E0%B9%8A%E0%B8%84-%E0%B9%81%E0%B8%AD%E0%B8%99%E0%B8%94%E0%B9%8C-%E0%B8%81%E0%B8%B2%E0%B8%A3%E0%B9%8C%E0%B8%94-100083350831800"/>
    <hyperlink ref="R39" r:id="rId103" display="Rechercher sur Maps"/>
    <hyperlink ref="W39" r:id="rId104" display="https://www.facebook.com/p/AE-%E0%B8%9A%E0%B8%B8%E0%B9%8A%E0%B8%84-%E0%B9%81%E0%B8%AD%E0%B8%99%E0%B8%94%E0%B9%8C-%E0%B8%81%E0%B8%B2%E0%B8%A3%E0%B9%8C%E0%B8%94-100083350831800/"/>
    <hyperlink ref="M40" r:id="rId105" display="https://www.facebook.com/p/ANNA-SHOP-100063683825022"/>
    <hyperlink ref="W40" r:id="rId106" display="https://www.facebook.com/p/ANNA-SHOP-100063683825022/"/>
    <hyperlink ref="M41" r:id="rId107" display="https://www.facebook.com/pongpan.nookeaw"/>
    <hyperlink ref="W41" r:id="rId108" display="https://www.facebook.com/pongpan.nookeaw/"/>
    <hyperlink ref="M42" r:id="rId109" display="https://www.facebook.com/MornorCardClub"/>
    <hyperlink ref="R42" r:id="rId110" display="Rechercher sur Maps"/>
    <hyperlink ref="W42" r:id="rId111" display="https://www.facebook.com/MornorCardClub"/>
    <hyperlink ref="M43" r:id="rId112" display="https://www.facebook.com/SUPARBTOY"/>
    <hyperlink ref="W43" r:id="rId113" display="https://www.facebook.com/SUPARBTOY/"/>
    <hyperlink ref="R44" r:id="rId114" display="Rechercher sur Maps"/>
    <hyperlink ref="W44" r:id="rId115" display="https://tcgtalk.com/guides/thailand/abyss-eye-pull-rates-box-opening-guide"/>
    <hyperlink ref="R45" r:id="rId116" display="Rechercher sur Maps"/>
    <hyperlink ref="W45" r:id="rId117" display="https://tcgtalk.com/guides/thailand/abyss-eye-pull-rates-box-opening-guide"/>
    <hyperlink ref="L46" r:id="rId118" display="https://www.instagram.com/bangkokcardshow"/>
    <hyperlink ref="M46" r:id="rId119" display="https://www.facebook.com/bkkcardshow"/>
    <hyperlink ref="R46" r:id="rId120" display="Rechercher sur Maps"/>
    <hyperlink ref="W46" r:id="rId121" display="https://tcgtalk.com/guides/thailand-pokemon-tradeshows-2026 | https://qsncc.com/en/whats-on/event-calendar/bangkok-international-card-show-2027/ | https://www.instagram.com/bangkokcardshow/"/>
    <hyperlink ref="K47" r:id="rId122" display="https://nintcg.com"/>
    <hyperlink ref="R47" r:id="rId123" display="Rechercher sur Maps"/>
    <hyperlink ref="W47" r:id="rId124" display="https://tcgtalk.com/guides/tcg-shops-vietnam | https://tcgtalk.com/blog/chaos-rising-pokemon-vietnam-guide-1777992511431"/>
    <hyperlink ref="K48" r:id="rId125" display="https://nshop.com.vn"/>
    <hyperlink ref="R48" r:id="rId126" display="Rechercher sur Maps"/>
    <hyperlink ref="W48" r:id="rId127" display="https://tcgtalk.com/guides/tcg-shops-vietnam | https://tcgtalk.com/guides/vietnam-pokemon-tradeshows-2026 | https://tcgtalk.com/blog/chaos-rising-pokemon-vietnam-guide-1777992511431"/>
    <hyperlink ref="R49" r:id="rId128" display="Rechercher sur Maps"/>
    <hyperlink ref="W49" r:id="rId129" display="https://tcgtalk.com/blog/chaos-rising-pokemon-vietnam-guide-1777992511431 | https://tcgtalk.com/guides/tcg-shops-vietnam"/>
    <hyperlink ref="R50" r:id="rId130" display="Rechercher sur Maps"/>
    <hyperlink ref="W50" r:id="rId131" display="https://moodiedavittreport.com/trinity-forum-host-ipp-travel-retail-brings-pokemon-trade-card-game-to-vietnamese-airports/ | https://moodiedavittreport.com/images-of-the-day-kid-stars-adds-colour-and-play-to-ipp-travel-retails-offer-at-cam-ranh-airport/ | https://aci-asiapac.aero/membership/wbp-capability-database/duy-anh-trading-joint-stock-company-ipp-travel-retail-1084104"/>
    <hyperlink ref="K51" r:id="rId132" display="https://bulbashop.com"/>
    <hyperlink ref="M51" r:id="rId133" display="https://www.facebook.com/bulbashop"/>
    <hyperlink ref="R51" r:id="rId134" display="Rechercher sur Maps"/>
    <hyperlink ref="W51" r:id="rId135" display="https://tcgtalk.com/guides/tcg-shops-vietnam | https://www.facebook.com/bulbashop/ | https://tcgtalk.com/guides/vietnam-pokemon-tradeshows-2026"/>
    <hyperlink ref="M52" r:id="rId136" display="https://www.facebook.com/mysticcreww"/>
    <hyperlink ref="R52" r:id="rId137" display="Rechercher sur Maps"/>
    <hyperlink ref="W52" r:id="rId138" display="https://www.facebook.com/mysticcreww/ | https://tcgtalk.com/guides/tcg-shops-vietnam | https://tcgtalk.com/blog/chaos-rising-pokemon-vietnam-guide-1777992511431"/>
    <hyperlink ref="M53" r:id="rId139" display="https://www.facebook.com/hobbycenter.vn"/>
    <hyperlink ref="R53" r:id="rId140" display="Rechercher sur Maps"/>
    <hyperlink ref="W53" r:id="rId141" display="https://tcgtalk.com/guides/tcg-shops-vietnam | https://tcgtalk.com/blog/chaos-rising-pokemon-vietnam-guide-1777992511431 | https://www.facebook.com/hobbycenter.vn/"/>
    <hyperlink ref="R54" r:id="rId142" display="Rechercher sur Maps"/>
    <hyperlink ref="W54" r:id="rId143" display="https://vn.linkedin.com/in/tonyphamvn"/>
    <hyperlink ref="R55" r:id="rId144" display="Rechercher sur Maps"/>
    <hyperlink ref="W55" r:id="rId145" display="https://tcgtalk.com/guides/tcg-shops-vietnam | https://tcgtalk.com/blog/chaos-rising-pokemon-vietnam-guide-1777992511431"/>
    <hyperlink ref="M56" r:id="rId146" display="https://www.facebook.com/PTCGCanTho"/>
    <hyperlink ref="W56" r:id="rId147" display="https://www.facebook.com/PTCGCanTho/"/>
    <hyperlink ref="M57" r:id="rId148" display="https://www.facebook.com/people/C%C3%A1-TCG-%C4%90%C3%A0-N%E1%BA%B5ng/61570874096731"/>
    <hyperlink ref="W57" r:id="rId149" display="https://www.facebook.com/people/C%C3%A1-TCG-%C4%90%C3%A0-N%E1%BA%B5ng/61570874096731/"/>
    <hyperlink ref="K58" r:id="rId150" display="https://kawaikulture.vn"/>
    <hyperlink ref="M58" r:id="rId151" display="https://www.facebook.com/kawaiikulturedn"/>
    <hyperlink ref="R58" r:id="rId152" display="Rechercher sur Maps"/>
    <hyperlink ref="W58" r:id="rId153" display="https://www.facebook.com/kawaiikulturedn/"/>
    <hyperlink ref="K59" r:id="rId154" display="https://pokecorner.vn"/>
    <hyperlink ref="M59" r:id="rId155" display="https://www.facebook.com/pokecornershop"/>
    <hyperlink ref="R59" r:id="rId156" display="Rechercher sur Maps"/>
    <hyperlink ref="W59" r:id="rId157" display="https://www.facebook.com/pokecornershop/"/>
    <hyperlink ref="M60" r:id="rId158" display="https://www.facebook.com/p/Kichi-TCG-61575859491723"/>
    <hyperlink ref="W60" r:id="rId159" display="https://www.facebook.com/p/Kichi-TCG-61575859491723/"/>
    <hyperlink ref="N61" r:id="rId160" display="https://www.tiktok.com/@pokemontcgviet"/>
    <hyperlink ref="W61" r:id="rId161" display="https://www.tiktok.com/@pokemontcgviet/video/7264878797223185665 | https://www.tiktok.com/@pokemontcgviet/video/7314918977514392839"/>
    <hyperlink ref="M62" r:id="rId162" display="https://www.facebook.com/Pokepoketcg"/>
    <hyperlink ref="W62" r:id="rId163" display="https://www.facebook.com/Pokepoketcg/"/>
    <hyperlink ref="M63" r:id="rId164" display="https://www.facebook.com/Pokioh.shop"/>
    <hyperlink ref="W63" r:id="rId165" display="https://www.facebook.com/Pokioh.shop/"/>
    <hyperlink ref="K64" r:id="rId166" display="https://pokemontcg.vn"/>
    <hyperlink ref="M64" r:id="rId167" display="https://www.facebook.com/PokemonTCGVN"/>
    <hyperlink ref="W64" r:id="rId168" display="https://www.facebook.com/PokemonTCGVN/"/>
    <hyperlink ref="K65" r:id="rId169" display="https://pokestore.vn"/>
    <hyperlink ref="M65" r:id="rId170" display="https://www.facebook.com/PokeStoreVN"/>
    <hyperlink ref="W65" r:id="rId171" display="https://www.facebook.com/PokeStoreVN"/>
    <hyperlink ref="R66" r:id="rId172" display="Rechercher sur Maps"/>
    <hyperlink ref="W66" r:id="rId173" display="https://tcgtalk.com/guides/tcg-shops-vietnam"/>
    <hyperlink ref="R67" r:id="rId174" display="Rechercher sur Maps"/>
    <hyperlink ref="W67" r:id="rId175" display="https://tcgtalk.com/guides/tcg-shops-vietnam"/>
    <hyperlink ref="M68" r:id="rId176" display="https://www.facebook.com/shoptcgsg"/>
    <hyperlink ref="R68" r:id="rId177" display="Rechercher sur Maps"/>
    <hyperlink ref="W68" r:id="rId178" display="https://tcgtalk.com/guides/tcg-shops-vietnam | https://www.facebook.com/shoptcgsg/"/>
    <hyperlink ref="R69" r:id="rId179" display="Rechercher sur Maps"/>
    <hyperlink ref="W69" r:id="rId180" display="https://www.tumblr.com/gamestopvn"/>
    <hyperlink ref="R70" r:id="rId181" display="Rechercher sur Maps"/>
    <hyperlink ref="W70" r:id="rId182" display="https://tcgtalk.com/guides/tcg-shops-vietnam"/>
    <hyperlink ref="R71" r:id="rId183" display="Rechercher sur Maps"/>
    <hyperlink ref="W71" r:id="rId184" display="https://tcgtalk.com/guides/tcg-shops-vietnam"/>
    <hyperlink ref="R72" r:id="rId185" display="Rechercher sur Maps"/>
    <hyperlink ref="W72" r:id="rId186" display="https://tcgtalk.com/guides/tcg-shops-vietnam"/>
    <hyperlink ref="K73" r:id="rId187" display="https://pro.m2duelstore.com"/>
    <hyperlink ref="M73" r:id="rId188" display="https://www.facebook.com/M2duelstore"/>
    <hyperlink ref="R73" r:id="rId189" display="Rechercher sur Maps"/>
    <hyperlink ref="W73" r:id="rId190" display="https://www.facebook.com/M2duelstore/"/>
    <hyperlink ref="M74" r:id="rId191" display="https://www.facebook.com/SaigonCollectibles.vn"/>
    <hyperlink ref="R74" r:id="rId192" display="Rechercher sur Maps"/>
    <hyperlink ref="W74" r:id="rId193" display="https://tcgtalk.com/guides/tcg-shops-vietnam | https://www.facebook.com/SaigonCollectibles.vn/"/>
    <hyperlink ref="R75" r:id="rId194" display="Rechercher sur Maps"/>
    <hyperlink ref="W75" r:id="rId195" display="https://tcgtalk.com/blog/chaos-rising-pokemon-vietnam-guide-1777992511431 | https://tcgtalk.com/guides/vietnam-pokemon-tradeshows-2026"/>
    <hyperlink ref="R76" r:id="rId196" display="Rechercher sur Maps"/>
    <hyperlink ref="W76" r:id="rId197" display="https://tcgtalk.com/guides/vietnam-pokemon-tradeshows-2026 | https://tcgtalk.com/blog/chaos-rising-pokemon-vietnam-guide-1777992511431"/>
    <hyperlink ref="R77" r:id="rId198" display="Rechercher sur Maps"/>
    <hyperlink ref="W77" r:id="rId199" display="https://tcgtalk.com/guides/vietnam-pokemon-tradeshows-2026 | https://tcgtalk.com/blog/chaos-rising-pokemon-vietnam-guide-1777992511431"/>
    <hyperlink ref="R78" r:id="rId200" display="Rechercher sur Maps"/>
    <hyperlink ref="W78" r:id="rId201" display="https://tcgtalk.com/guides/tcg-shops-vietnam"/>
    <hyperlink ref="M79" r:id="rId202" display="https://www.facebook.com/TCGStoreVietNam"/>
    <hyperlink ref="W79" r:id="rId203" display="https://www.facebook.com/TCGStoreVietNam/"/>
    <hyperlink ref="W80" r:id="rId204" display="https://www.lazada.com.ph/products/pokemon-tcg-mega-evolution-ascended-heroes-elite-trainer-box-i15389354988.html | https://www.gizguide.com/2019/12/pokemon-flagship-store-lazada-philippines.html | https://bulbanews.bulbagarden.net/wiki/Shiny_Rayquaza_to_be_distributed_by_Maxsoft_Online"/>
    <hyperlink ref="R81" r:id="rId205" display="Rechercher sur Maps"/>
    <hyperlink ref="W81" r:id="rId206" display="https://tcgtalk.com/guides/philippines/where-to-buy-pokemon-cards-philippines"/>
    <hyperlink ref="R82" r:id="rId207" display="Rechercher sur Maps"/>
    <hyperlink ref="W82" r:id="rId208" display="https://tcgtalk.com/guides/philippines/where-to-buy-pokemon-cards-philippines"/>
    <hyperlink ref="K83" r:id="rId209" display="https://ecommerce.datablitz.com.ph"/>
    <hyperlink ref="R83" r:id="rId210" display="Rechercher sur Maps"/>
    <hyperlink ref="W83" r:id="rId211" display="https://tcgtalk.com/guides/philippines/where-to-buy-pokemon-cards-philippines | https://ecommerce.datablitz.com.ph/products/pokemon-trading-card-game-enhanced-2-pack-blister"/>
    <hyperlink ref="K84" r:id="rId212" display="https://www.toykingdom.ph/collections/pokemon"/>
    <hyperlink ref="R84" r:id="rId213" display="Rechercher sur Maps"/>
    <hyperlink ref="W84" r:id="rId214" display="https://www.toykingdom.ph/collections/pokemon?page=1 | https://tcgtalk.com/guides/philippines/where-to-buy-pokemon-cards-philippines"/>
    <hyperlink ref="K85" r:id="rId215" display="https://shop.greengatehobbies.com"/>
    <hyperlink ref="R85" r:id="rId216" display="Rechercher sur Maps"/>
    <hyperlink ref="W85" r:id="rId217" display="https://tcgtalk.com/guides/tcg-shops-philippines | https://tcgtalk.com/guides/philippines/where-to-buy-pokemon-cards-philippines"/>
    <hyperlink ref="R86" r:id="rId218" display="Rechercher sur Maps"/>
    <hyperlink ref="W86" r:id="rId219" display="https://www.robinsonsretailholdings.com.ph/2025/11/26/toysrus-pokemon-unveil-1st-pokemon-play-hub-in-ph/ | https://robinsonsmalls.com/pokemon-play-hub-robinsons-galleria"/>
    <hyperlink ref="R87" r:id="rId220" display="Rechercher sur Maps"/>
    <hyperlink ref="W87" r:id="rId221" display="https://tcgtalk.com/blog/chaos-rising-pokemon-philippines-guide-1777992510344 | https://tcgtalk.com/guides/philippines/where-to-buy-pokemon-cards-philippines"/>
    <hyperlink ref="M88" r:id="rId222" display="https://www.facebook.com/magicshopdavao"/>
    <hyperlink ref="R88" r:id="rId223" display="Rechercher sur Maps"/>
    <hyperlink ref="W88" r:id="rId224" display="https://tcgtalk.com/guides/tcg-shops-philippines | https://www.facebook.com/magicshopdavao/"/>
    <hyperlink ref="K89" r:id="rId225" display="https://vaultcardshop.com"/>
    <hyperlink ref="M89" r:id="rId226" display="https://www.facebook.com/VaultCardShop"/>
    <hyperlink ref="R89" r:id="rId227" display="Rechercher sur Maps"/>
    <hyperlink ref="W89" r:id="rId228" display="https://www.facebook.com/VaultCardShop/ | https://tcgtalk.com/blog/chaos-rising-pokemon-philippines-guide-1777992510344 | https://tcgtalk.com/guides/philippines/where-to-buy-pokemon-cards-philippines"/>
    <hyperlink ref="R90" r:id="rId229" display="Rechercher sur Maps"/>
    <hyperlink ref="W90" r:id="rId230" display="https://tcgtalk.com/guides/tcg-shops-philippines | https://tcgtalk.com/guides/philippines/where-to-buy-pokemon-cards-philippines"/>
    <hyperlink ref="M91" r:id="rId231" display="https://www.facebook.com/p/JapStore-PH-Cards-Hobbies-100094538074584"/>
    <hyperlink ref="R91" r:id="rId232" display="Rechercher sur Maps"/>
    <hyperlink ref="W91" r:id="rId233" display="https://www.facebook.com/p/JapStore-PH-Cards-Hobbies-100094538074584/"/>
    <hyperlink ref="R92" r:id="rId234" display="Rechercher sur Maps"/>
    <hyperlink ref="W92" r:id="rId235" display="https://tcgtalk.com/guides/philippines/where-to-buy-pokemon-cards-philippines"/>
    <hyperlink ref="R93" r:id="rId236" display="Rechercher sur Maps"/>
    <hyperlink ref="W93" r:id="rId237" display="https://tcgtalk.com/guides/tcg-shops-philippines"/>
    <hyperlink ref="L94" r:id="rId238" display="https://www.instagram.com/hobbystadium"/>
    <hyperlink ref="R94" r:id="rId239" display="Rechercher sur Maps"/>
    <hyperlink ref="W94" r:id="rId240" display="https://tcgtalk.com/blog/chaos-rising-pokemon-philippines-guide-1777992510344 | https://tcgtalk.com/guides/tcg-shops-philippines | https://www.instagram.com/hobbystadium/"/>
    <hyperlink ref="R95" r:id="rId241" display="Rechercher sur Maps"/>
    <hyperlink ref="W95" r:id="rId242" display="https://tcgtalk.com/blog/chaos-rising-pokemon-philippines-guide-1777992510344"/>
    <hyperlink ref="R96" r:id="rId243" display="Rechercher sur Maps"/>
    <hyperlink ref="W96" r:id="rId244" display="https://tcgtalk.com/blog/chaos-rising-pokemon-philippines-guide-1777992510344 | https://tcgtalk.com/guides/philippines/where-to-buy-pokemon-cards-philippines"/>
    <hyperlink ref="R97" r:id="rId245" display="Rechercher sur Maps"/>
    <hyperlink ref="W97" r:id="rId246" display="https://tcgtalk.com/guides/tcg-shops-philippines"/>
    <hyperlink ref="R98" r:id="rId247" display="Rechercher sur Maps"/>
    <hyperlink ref="W98" r:id="rId248" display="https://www.tiktok.com/discover/where-to-sell-pokemon-cards-philippines"/>
    <hyperlink ref="R99" r:id="rId249" display="Rechercher sur Maps"/>
    <hyperlink ref="W99" r:id="rId250" display="https://tcgtalk.com/blog/chaos-rising-pokemon-philippines-guide-1777992510344"/>
    <hyperlink ref="M100" r:id="rId251" display="https://www.facebook.com/ongkeco.shop"/>
    <hyperlink ref="R100" r:id="rId252" display="Rechercher sur Maps"/>
    <hyperlink ref="W100" r:id="rId253" display="https://www.facebook.com/ongkeco.shop/ | https://tcgtalk.com/guides/tcg-shops-philippines"/>
    <hyperlink ref="R101" r:id="rId254" display="Rechercher sur Maps"/>
    <hyperlink ref="W101" r:id="rId255" display="https://tcgtalk.com/guides/tcg-shops-philippines"/>
    <hyperlink ref="R102" r:id="rId256" display="Rechercher sur Maps"/>
    <hyperlink ref="W102" r:id="rId257" display="https://tcgtalk.com/guides/tcg-shops-philippines"/>
    <hyperlink ref="R103" r:id="rId258" display="Rechercher sur Maps"/>
    <hyperlink ref="W103" r:id="rId259" display="https://tcgtalk.com/guides/tcg-shops-philippines | https://tcgtalk.com/guides/philippines-pokemon-tradeshows-2026"/>
    <hyperlink ref="R104" r:id="rId260" display="Rechercher sur Maps"/>
    <hyperlink ref="W104" r:id="rId261" display="https://tcgtalk.com/guides/tcg-shops-philippines"/>
    <hyperlink ref="M105" r:id="rId262" display="https://www.facebook.com/pokeshopphilippines"/>
    <hyperlink ref="W105" r:id="rId263" display="https://www.facebook.com/pokeshopphilippines/"/>
    <hyperlink ref="R106" r:id="rId264" display="Rechercher sur Maps"/>
    <hyperlink ref="W106" r:id="rId265" display="https://tcgtalk.com/blog/chaos-rising-pokemon-philippines-guide-1777992510344 | https://tcgtalk.com/guides/tcg-shops-philippines"/>
    <hyperlink ref="M107" r:id="rId266" display="https://www.facebook.com/jkhobbyshopph"/>
    <hyperlink ref="R107" r:id="rId267" display="Rechercher sur Maps"/>
    <hyperlink ref="W107" r:id="rId268" display="https://www.facebook.com/jkhobbyshopph/"/>
    <hyperlink ref="R108" r:id="rId269" display="Rechercher sur Maps"/>
    <hyperlink ref="W108" r:id="rId270" display="https://www.tiktok.com/discover/where-to-sell-pokemon-cards-philippines"/>
    <hyperlink ref="W109" r:id="rId271" display="https://www.lazada.com.ph/products/pokemon-tcg-shining-fates-elite-trainer-box-i1795891590.html"/>
    <hyperlink ref="W110" r:id="rId272" display="https://shopee.ph/pokeworld_ph"/>
    <hyperlink ref="R111" r:id="rId273" display="Rechercher sur Maps"/>
    <hyperlink ref="W111" r:id="rId274" display="https://tcgtalk.com/guides/tcg-shops-philippines"/>
    <hyperlink ref="R112" r:id="rId275" display="Rechercher sur Maps"/>
    <hyperlink ref="W112" r:id="rId276" display="https://tcgtalk.com/guides/tcg-shops-philippines"/>
    <hyperlink ref="R113" r:id="rId277" display="Rechercher sur Maps"/>
    <hyperlink ref="W113" r:id="rId278" display="https://tcgtalk.com/guides/tcg-shops-philippines"/>
    <hyperlink ref="R114" r:id="rId279" display="Rechercher sur Maps"/>
    <hyperlink ref="W114" r:id="rId280" display="https://tcgtalk.com/guides/tcg-shops-philippines"/>
    <hyperlink ref="R115" r:id="rId281" display="Rechercher sur Maps"/>
    <hyperlink ref="W115" r:id="rId282" display="https://tcgtalk.com/guides/tcg-shops-philippines"/>
    <hyperlink ref="R116" r:id="rId283" display="Rechercher sur Maps"/>
    <hyperlink ref="W116" r:id="rId284" display="https://tcgtalk.com/guides/tcg-shops-philippines"/>
    <hyperlink ref="R117" r:id="rId285" display="Rechercher sur Maps"/>
    <hyperlink ref="W117" r:id="rId286" display="https://tcgtalk.com/guides/tcg-shops-philippines"/>
    <hyperlink ref="R118" r:id="rId287" display="Rechercher sur Maps"/>
    <hyperlink ref="W118" r:id="rId288" display="https://tcgtalk.com/blog/chaos-rising-pokemon-philippines-guide-1777992510344 | https://tcgtalk.com/guides/tcg-shops-philippines"/>
    <hyperlink ref="R119" r:id="rId289" display="Rechercher sur Maps"/>
    <hyperlink ref="W119" r:id="rId290" display="https://tcgtalk.com/guides/tcg-shops-philippines"/>
    <hyperlink ref="R120" r:id="rId291" display="Rechercher sur Maps"/>
    <hyperlink ref="W120" r:id="rId292" display="https://tcgtalk.com/guides/tcg-shops-philippines"/>
    <hyperlink ref="R121" r:id="rId293" display="Rechercher sur Maps"/>
    <hyperlink ref="W121" r:id="rId294" display="https://tcgtalk.com/guides/tcg-shops-philippines"/>
    <hyperlink ref="R122" r:id="rId295" display="Rechercher sur Maps"/>
    <hyperlink ref="W122" r:id="rId296" display="https://tcgtalk.com/guides/tcg-shops-philippines"/>
    <hyperlink ref="R123" r:id="rId297" display="Rechercher sur Maps"/>
    <hyperlink ref="W123" r:id="rId298" display="https://tcgtalk.com/blog/chaos-rising-pokemon-philippines-guide-1777992510344 | https://tcgtalk.com/guides/tcg-shops-philippines"/>
    <hyperlink ref="R124" r:id="rId299" display="Rechercher sur Maps"/>
    <hyperlink ref="W124" r:id="rId300" display="https://tcgtalk.com/blog/chaos-rising-pokemon-philippines-guide-1777992510344 | https://tcgtalk.com/guides/tcg-shops-philippines"/>
    <hyperlink ref="R125" r:id="rId301" display="Rechercher sur Maps"/>
    <hyperlink ref="W125" r:id="rId302" display="https://tcgtalk.com/guides/tcg-shops-philippines"/>
    <hyperlink ref="R126" r:id="rId303" display="Rechercher sur Maps"/>
    <hyperlink ref="W126" r:id="rId304" display="https://tcgtalk.com/guides/tcg-shops-philippines"/>
    <hyperlink ref="R127" r:id="rId305" display="Rechercher sur Maps"/>
    <hyperlink ref="W127" r:id="rId306" display="https://tcgtalk.com/guides/tcg-shops-philippines"/>
    <hyperlink ref="R128" r:id="rId307" display="Rechercher sur Maps"/>
    <hyperlink ref="W128" r:id="rId308" display="https://tcgtalk.com/guides/tcg-shops-philippines"/>
    <hyperlink ref="R129" r:id="rId309" display="Rechercher sur Maps"/>
    <hyperlink ref="W129" r:id="rId310" display="https://tcgtalk.com/guides/philippines/where-to-buy-pokemon-cards-philippines"/>
    <hyperlink ref="R130" r:id="rId311" display="Rechercher sur Maps"/>
    <hyperlink ref="W130" r:id="rId312" display="https://tcgtalk.com/blog/chaos-rising-pokemon-philippines-guide-1777992510344 | https://tcgtalk.com/guides/tcg-shops-philippines"/>
    <hyperlink ref="R131" r:id="rId313" display="Rechercher sur Maps"/>
    <hyperlink ref="W131" r:id="rId314" display="https://tcgtalk.com/guides/tcg-shops-philippines | https://tcgtalk.com/guides/philippines/where-to-buy-pokemon-cards-philippines"/>
    <hyperlink ref="R132" r:id="rId315" display="Rechercher sur Maps"/>
    <hyperlink ref="W132" r:id="rId316" display="https://tcgtalk.com/guides/tcg-shops-philippines"/>
    <hyperlink ref="R133" r:id="rId317" display="Rechercher sur Maps"/>
    <hyperlink ref="W133" r:id="rId318" display="https://tcgtalk.com/blog/chaos-rising-pokemon-philippines-guide-1777992510344"/>
    <hyperlink ref="K134" r:id="rId319" display="https://maxsoftonline.com"/>
    <hyperlink ref="W134" r:id="rId320" display="https://bulbapedia.bulbagarden.net/wiki/Singapore | https://getprospect.com/business-directory/maxsoft-pte-ltd | https://tcgtalk.com/blog/why-singapore-pokemon-card-prices-130-percent-market-rate-explained-1766818121578"/>
    <hyperlink ref="R135" r:id="rId321" display="Rechercher sur Maps"/>
    <hyperlink ref="W135" r:id="rId322" display="https://tcgtalk.com/blog/n2-toys-singapore-review-beauty-world-centre-pokemon-tcg-2026-1771594342551 | https://tcgtalk.com/guides/pokemon-tcg-shops-singapore"/>
    <hyperlink ref="R136" r:id="rId323" display="Rechercher sur Maps"/>
    <hyperlink ref="W136" r:id="rId324" display="https://tcgtalk.com/blog/play-united-singapore-review-orchard-centrepoint-pokemon-tcg-2026-1782657722811 | https://www.tiktok.com/discover/pokemon-card-live-singapore?lang=en"/>
    <hyperlink ref="R137" r:id="rId325" display="Rechercher sur Maps"/>
    <hyperlink ref="W137" r:id="rId326" display="https://thesmartlocal.com/read/guide-to-pokemon-cards-in-singapore/ | https://asia-press.portal-pokemon.com/press-release/july-1st-grand-reopening/ | https://snkrdunk.com/en/magazine/2025/03/17/pokemon-center-singapore-intoduces-anti-scalping-measure-removal-of-plastic-wrap-from-tcg-products-at-purchase | https://mustsharenews.com/pokemon-center-queue-launch/"/>
    <hyperlink ref="R138" r:id="rId327" display="Rechercher sur Maps"/>
    <hyperlink ref="W138" r:id="rId328" display="https://tcgtalk.com/blog/pokemon-card-collecting-singapore-2026-complete-beginner-guide | https://thesmartlocal.com/read/guide-to-pokemon-cards-in-singapore/"/>
    <hyperlink ref="R139" r:id="rId329" display="Rechercher sur Maps"/>
    <hyperlink ref="W139" r:id="rId330" display="https://tcgtalk.com/blog/pokemon-card-collecting-singapore-2026-complete-beginner-guide | https://thesmartlocal.com/read/guide-to-pokemon-cards-in-singapore/"/>
    <hyperlink ref="R140" r:id="rId331" display="Rechercher sur Maps"/>
    <hyperlink ref="W140" r:id="rId332" display="https://player.me/?p=30893"/>
    <hyperlink ref="R141" r:id="rId333" display="Rechercher sur Maps"/>
    <hyperlink ref="W141" r:id="rId334" display="https://thesmartlocal.com/read/tcg-store-card-arena-suntec-city/"/>
    <hyperlink ref="L142" r:id="rId335" display="https://www.instagram.com/cardboardcollectible"/>
    <hyperlink ref="R142" r:id="rId336" display="Rechercher sur Maps"/>
    <hyperlink ref="W142" r:id="rId337" display="https://thesmartlocal.com/read/guide-to-pokemon-cards-in-singapore/ | https://tcgtalk.com/blog/complete-pokemon-tcg-products-guide-singapore-collectors-2025-1766156861401 | https://getgo.sg/blog/best-tcg-card-shops-in-singapore | https://www.instagram.com/cardboardcollectible/"/>
    <hyperlink ref="M143" r:id="rId338" display="https://www.facebook.com/cardscentralsg"/>
    <hyperlink ref="R143" r:id="rId339" display="Rechercher sur Maps"/>
    <hyperlink ref="W143" r:id="rId340" display="https://www.facebook.com/cardscentralsg/ | https://www.tiktok.com/discover/pokemon-card-live-singapore?lang=en"/>
    <hyperlink ref="R144" r:id="rId341" display="Rechercher sur Maps"/>
    <hyperlink ref="W144" r:id="rId342" display="https://thesmartlocal.com/read/guide-to-pokemon-cards-in-singapore/ | https://tcgtalk.com/blog/pokemon-card-collecting-singapore-2026-complete-beginner-guide | https://elitefourum.com/t/what-to-buy-in-singapore/54564 | https://tcgtalk.com/blog/complete-pokemon-tcg-products-guide-singapore-collectors-2025-1766156861401"/>
    <hyperlink ref="K145" r:id="rId343" display="https://dxcollection.com.sg"/>
    <hyperlink ref="R145" r:id="rId344" display="Rechercher sur Maps"/>
    <hyperlink ref="W145" r:id="rId345" display="https://getgo.sg/blog/best-tcg-card-shops-in-singapore"/>
    <hyperlink ref="R146" r:id="rId346" display="Rechercher sur Maps"/>
    <hyperlink ref="W146" r:id="rId347" display="https://tcgtalk.com/guides/pokemon-tcg-shops-singapore | https://getgo.sg/blog/best-tcg-card-shops-in-singapore"/>
    <hyperlink ref="L147" r:id="rId348" display="https://www.instagram.com/shanecollectibles"/>
    <hyperlink ref="R147" r:id="rId349" display="Rechercher sur Maps"/>
    <hyperlink ref="W147" r:id="rId350" display="https://www.instagram.com/shanecollectibles/"/>
    <hyperlink ref="R148" r:id="rId351" display="Rechercher sur Maps"/>
    <hyperlink ref="W148" r:id="rId352" display="https://getgo.sg/blog/best-tcg-card-shops-in-singapore"/>
    <hyperlink ref="R149" r:id="rId353" display="Rechercher sur Maps"/>
    <hyperlink ref="W149" r:id="rId354" display="https://thesmartlocal.com/read/guide-to-pokemon-cards-in-singapore/ | https://www.ebay.de/str/spearingsg"/>
    <hyperlink ref="L150" r:id="rId355" display="https://www.instagram.com/tcgtrading"/>
    <hyperlink ref="W150" r:id="rId356" display="https://www.instagram.com/tcgtrading/"/>
    <hyperlink ref="L151" r:id="rId357" display="https://www.instagram.com/1nonly_tcg"/>
    <hyperlink ref="R151" r:id="rId358" display="Rechercher sur Maps"/>
    <hyperlink ref="W151" r:id="rId359" display="https://tcgtalk.com/guides/singapore-tcg-event-vendor-directory"/>
    <hyperlink ref="R152" r:id="rId360" display="Rechercher sur Maps"/>
    <hyperlink ref="W152" r:id="rId361" display="https://tcgtalk.com/guides/pokemon-tcg-shops-singapore"/>
    <hyperlink ref="L153" r:id="rId362" display="https://www.instagram.com/allbluecollectibles"/>
    <hyperlink ref="R153" r:id="rId363" display="Rechercher sur Maps"/>
    <hyperlink ref="W153" r:id="rId364" display="https://www.instagram.com/allbluecollectibles/"/>
    <hyperlink ref="R154" r:id="rId365" display="Rechercher sur Maps"/>
    <hyperlink ref="W154" r:id="rId366" display="https://tcgtalk.com/guides/pokemon-tcg-shops-singapore"/>
    <hyperlink ref="L155" r:id="rId367" display="https://www.instagram.com/the094archive"/>
    <hyperlink ref="R155" r:id="rId368" display="Rechercher sur Maps"/>
    <hyperlink ref="W155" r:id="rId369" display="https://tcgtalk.com/guides/singapore-tcg-event-vendor-directory"/>
    <hyperlink ref="W156" r:id="rId370" display="https://www.carousell.sg/u/azurecards/"/>
    <hyperlink ref="L157" r:id="rId371" display="https://www.instagram.com/beyondborders.tcg"/>
    <hyperlink ref="R157" r:id="rId372" display="Rechercher sur Maps"/>
    <hyperlink ref="W157" r:id="rId373" display="https://tcgtalk.com/guides/singapore-tcg-event-vendor-directory"/>
    <hyperlink ref="L158" r:id="rId374" display="https://www.instagram.com/blusterycollectibles"/>
    <hyperlink ref="R158" r:id="rId375" display="Rechercher sur Maps"/>
    <hyperlink ref="W158" r:id="rId376" display="https://tcgtalk.com/guides/singapore-tcg-event-vendor-directory | https://tcgtalk.com/guides/pokemon-tcg-shops-singapore"/>
    <hyperlink ref="L159" r:id="rId377" display="https://www.instagram.com/bokbokgeh.tcg"/>
    <hyperlink ref="R159" r:id="rId378" display="Rechercher sur Maps"/>
    <hyperlink ref="W159" r:id="rId379" display="https://tcgtalk.com/guides/singapore-tcg-event-vendor-directory"/>
    <hyperlink ref="M160" r:id="rId380" display="https://www.facebook.com/Bricksplay"/>
    <hyperlink ref="R160" r:id="rId381" display="Rechercher sur Maps"/>
    <hyperlink ref="W160" r:id="rId382" display="https://www.facebook.com/Bricksplay/ | https://tcgtalk.com/guides/pokemon-tcg-shops-singapore"/>
    <hyperlink ref="L161" r:id="rId383" display="https://www.instagram.com/bxcollectibes"/>
    <hyperlink ref="R161" r:id="rId384" display="Rechercher sur Maps"/>
    <hyperlink ref="W161" r:id="rId385" display="https://tcgtalk.com/guides/singapore-tcg-event-vendor-directory"/>
    <hyperlink ref="L162" r:id="rId386" display="https://www.instagram.com/caesarcards_sg"/>
    <hyperlink ref="R162" r:id="rId387" display="Rechercher sur Maps"/>
    <hyperlink ref="W162" r:id="rId388" display="https://getgo.sg/blog/best-tcg-card-shops-in-singapore | https://tcgtalk.com/guides/pokemon-tcg-shops-singapore | https://www.instagram.com/caesarcards_sg/"/>
    <hyperlink ref="M163" r:id="rId389" display="https://www.facebook.com/capybaracards"/>
    <hyperlink ref="R163" r:id="rId390" display="Rechercher sur Maps"/>
    <hyperlink ref="W163" r:id="rId391" display="https://www.facebook.com/capybaracards/"/>
    <hyperlink ref="L164" r:id="rId392" display="https://www.instagram.com/card_alliance_hq"/>
    <hyperlink ref="W164" r:id="rId393" display="https://www.instagram.com/card_alliance_hq/"/>
    <hyperlink ref="M165" r:id="rId394" display="https://www.facebook.com/cardconnectsg"/>
    <hyperlink ref="R165" r:id="rId395" display="Rechercher sur Maps"/>
    <hyperlink ref="W165" r:id="rId396" display="https://www.facebook.com/cardconnectsg/"/>
    <hyperlink ref="M166" r:id="rId397" display="https://www.facebook.com/CardNationSG"/>
    <hyperlink ref="R166" r:id="rId398" display="Rechercher sur Maps"/>
    <hyperlink ref="W166" r:id="rId399" display="https://www.facebook.com/CardNationSG/"/>
    <hyperlink ref="R167" r:id="rId400" display="Rechercher sur Maps"/>
    <hyperlink ref="W167" r:id="rId401" display="https://tcgtalk.com/guides/pokemon-tcg-shops-singapore"/>
    <hyperlink ref="M168" r:id="rId402" display="https://www.facebook.com/singaporelocalshop"/>
    <hyperlink ref="R168" r:id="rId403" display="Rechercher sur Maps"/>
    <hyperlink ref="W168" r:id="rId404" display="https://www.facebook.com/singaporelocalshop/"/>
    <hyperlink ref="M169" r:id="rId405" display="https://www.facebook.com/cardshacksg"/>
    <hyperlink ref="R169" r:id="rId406" display="Rechercher sur Maps"/>
    <hyperlink ref="W169" r:id="rId407" display="https://www.facebook.com/cardshacksg/"/>
    <hyperlink ref="L170" r:id="rId408" display="https://www.instagram.com/cc_collectibles_sg"/>
    <hyperlink ref="W170" r:id="rId409" display="https://www.instagram.com/cc_collectibles_sg/"/>
    <hyperlink ref="L171" r:id="rId410" display="https://www.instagram.com/conformity.tcg"/>
    <hyperlink ref="R171" r:id="rId411" display="Rechercher sur Maps"/>
    <hyperlink ref="W171" r:id="rId412" display="https://www.instagram.com/conformity.tcg/"/>
    <hyperlink ref="R172" r:id="rId413" display="Rechercher sur Maps"/>
    <hyperlink ref="W172" r:id="rId414" display="https://tcgtalk.com/guides/pokemon-tcg-shops-singapore"/>
    <hyperlink ref="R173" r:id="rId415" display="Rechercher sur Maps"/>
    <hyperlink ref="W173" r:id="rId416" display="https://tcgtalk.com/guides/pokemon-tcg-shops-singapore"/>
    <hyperlink ref="R174" r:id="rId417" display="Rechercher sur Maps"/>
    <hyperlink ref="W174" r:id="rId418" display="https://tcgtalk.com/guides/pokemon-tcg-shops-singapore"/>
    <hyperlink ref="L175" r:id="rId419" display="https://www.instagram.com/forfun_tcg"/>
    <hyperlink ref="R175" r:id="rId420" display="Rechercher sur Maps"/>
    <hyperlink ref="W175" r:id="rId421" display="https://tcgtalk.com/guides/singapore-tcg-event-vendor-directory"/>
    <hyperlink ref="L176" r:id="rId422" display="https://www.instagram.com/fulfillmenttcg"/>
    <hyperlink ref="W176" r:id="rId423" display="https://www.instagram.com/fulfillmenttcg/"/>
    <hyperlink ref="L177" r:id="rId424" display="https://www.instagram.com/gengapullz"/>
    <hyperlink ref="R177" r:id="rId425" display="Rechercher sur Maps"/>
    <hyperlink ref="W177" r:id="rId426" display="https://tcgtalk.com/guides/singapore-tcg-event-vendor-directory"/>
    <hyperlink ref="L178" r:id="rId427" display="https://www.instagram.com/gungarstudiotcgsg"/>
    <hyperlink ref="W178" r:id="rId428" display="https://tcgtalk.com/guides/singapore-tcg-event-vendor-directory"/>
    <hyperlink ref="R179" r:id="rId429" display="Rechercher sur Maps"/>
    <hyperlink ref="W179" r:id="rId430" display="https://tcgtalk.com/guides/pokemon-tcg-shops-singapore | https://tcgtalk.com/blog/pokemon-card-collecting-singapore-2026-complete-beginner-guide"/>
    <hyperlink ref="L180" r:id="rId431" display="https://www.instagram.com/jammtcg"/>
    <hyperlink ref="R180" r:id="rId432" display="Rechercher sur Maps"/>
    <hyperlink ref="W180" r:id="rId433" display="https://tcgtalk.com/guides/singapore-tcg-event-vendor-directory"/>
    <hyperlink ref="R181" r:id="rId434" display="Rechercher sur Maps"/>
    <hyperlink ref="W181" r:id="rId435" display="https://tcgtalk.com/guides/pokemon-tcg-shops-singapore"/>
    <hyperlink ref="W182" r:id="rId436" display="https://www.carousell.sg/hobbies-toys/toys-games/pokemon-booster-box-english/q-12/"/>
    <hyperlink ref="L183" r:id="rId437" display="https://www.instagram.com/kodomocollection"/>
    <hyperlink ref="R183" r:id="rId438" display="Rechercher sur Maps"/>
    <hyperlink ref="W183" r:id="rId439" display="https://tcgtalk.com/guides/singapore-tcg-event-vendor-directory"/>
    <hyperlink ref="W184" r:id="rId440" display="https://www.carousell.sg/hobbies-toys/toys-games/japanese-pokemon-box/q-12/"/>
    <hyperlink ref="L185" r:id="rId441" display="https://www.instagram.com/lunatcg.sg"/>
    <hyperlink ref="R185" r:id="rId442" display="Rechercher sur Maps"/>
    <hyperlink ref="W185" r:id="rId443" display="https://tcgtalk.com/guides/singapore-tcg-event-vendor-directory"/>
    <hyperlink ref="R186" r:id="rId444" display="Rechercher sur Maps"/>
    <hyperlink ref="W186" r:id="rId445" display="https://tcgtalk.com/guides/pokemon-tcg-shops-singapore"/>
    <hyperlink ref="W187" r:id="rId446" display="https://shopee.sg/blog/best-pokemon-cards-singapore/"/>
    <hyperlink ref="L188" r:id="rId447" display="https://www.instagram.com/nil_tcg"/>
    <hyperlink ref="R188" r:id="rId448" display="Rechercher sur Maps"/>
    <hyperlink ref="W188" r:id="rId449" display="https://tcgtalk.com/guides/singapore-tcg-event-vendor-directory"/>
    <hyperlink ref="L189" r:id="rId450" display="https://www.instagram.com/pkmk.tcg"/>
    <hyperlink ref="R189" r:id="rId451" display="Rechercher sur Maps"/>
    <hyperlink ref="W189" r:id="rId452" display="https://www.instagram.com/pkmk.tcg/"/>
    <hyperlink ref="L190" r:id="rId453" display="https://www.instagram.com/pokebrosg"/>
    <hyperlink ref="R190" r:id="rId454" display="Rechercher sur Maps"/>
    <hyperlink ref="W190" r:id="rId455" display="https://tcgtalk.com/guides/singapore-tcg-event-vendor-directory"/>
    <hyperlink ref="L191" r:id="rId456" display="https://www.instagram.com/polymontcg"/>
    <hyperlink ref="R191" r:id="rId457" display="Rechercher sur Maps"/>
    <hyperlink ref="W191" r:id="rId458" display="https://tcgtalk.com/guides/singapore-tcg-event-vendor-directory"/>
    <hyperlink ref="W192" r:id="rId459" display="https://shopee.sg/blog/best-pokemon-cards-singapore/"/>
    <hyperlink ref="L193" r:id="rId460" display="https://www.instagram.com/retrogen.collectibles"/>
    <hyperlink ref="R193" r:id="rId461" display="Rechercher sur Maps"/>
    <hyperlink ref="W193" r:id="rId462" display="https://tcgtalk.com/guides/singapore-tcg-event-vendor-directory"/>
    <hyperlink ref="R194" r:id="rId463" display="Rechercher sur Maps"/>
    <hyperlink ref="W194" r:id="rId464" display="https://tcgtalk.com/guides/pokemon-tcg-shops-singapore | https://tcgtalk.com/blog/pokemon-card-collecting-singapore-2026-complete-beginner-guide"/>
    <hyperlink ref="L195" r:id="rId465" display="https://www.instagram.com/sidequestsgco"/>
    <hyperlink ref="R195" r:id="rId466" display="Rechercher sur Maps"/>
    <hyperlink ref="W195" r:id="rId467" display="https://tcgtalk.com/guides/singapore-tcg-event-vendor-directory"/>
    <hyperlink ref="L196" r:id="rId468" display="https://www.instagram.com/sj_tcg"/>
    <hyperlink ref="R196" r:id="rId469" display="Rechercher sur Maps"/>
    <hyperlink ref="W196" r:id="rId470" display="https://www.instagram.com/sj_tcg/"/>
    <hyperlink ref="L197" r:id="rId471" display="https://www.instagram.com/stacknsnacksg"/>
    <hyperlink ref="R197" r:id="rId472" display="Rechercher sur Maps"/>
    <hyperlink ref="W197" r:id="rId473" display="https://tcgtalk.com/guides/singapore-tcg-event-vendor-directory"/>
    <hyperlink ref="W198" r:id="rId474" display="https://shopee.sg/blog/best-pokemon-cards-singapore/"/>
    <hyperlink ref="M199" r:id="rId475" display="https://www.facebook.com/theimaginariumsg"/>
    <hyperlink ref="R199" r:id="rId476" display="Rechercher sur Maps"/>
    <hyperlink ref="W199" r:id="rId477" display="https://www.facebook.com/theimaginariumsg/"/>
    <hyperlink ref="L200" r:id="rId478" display="https://www.instagram.com/tigervaulttcg"/>
    <hyperlink ref="R200" r:id="rId479" display="Rechercher sur Maps"/>
    <hyperlink ref="W200" r:id="rId480" display="https://www.instagram.com/tigervaulttcg/"/>
    <hyperlink ref="W201" r:id="rId481" display="https://www.carousell.sg/hobbies-toys/toys-games/japanese-pokemon-box/q-12/"/>
    <hyperlink ref="L202" r:id="rId482" display="https://www.instagram.com/ttm.tcg"/>
    <hyperlink ref="R202" r:id="rId483" display="Rechercher sur Maps"/>
    <hyperlink ref="W202" r:id="rId484" display="https://tcgtalk.com/guides/singapore-tcg-event-vendor-directory"/>
    <hyperlink ref="R203" r:id="rId485" display="Rechercher sur Maps"/>
    <hyperlink ref="W203" r:id="rId486" display="https://tcgtalk.com/guides/pokemon-tcg-shops-singapore"/>
    <hyperlink ref="R204" r:id="rId487" display="Rechercher sur Maps"/>
    <hyperlink ref="W204" r:id="rId488" display="https://tcgtalk.com/guides/pokemon-tcg-shops-singapore"/>
    <hyperlink ref="R205" r:id="rId489" display="Rechercher sur Maps"/>
    <hyperlink ref="W205" r:id="rId490" display="https://tcgtalk.com/guides/pokemon-tcg-shops-singapore"/>
    <hyperlink ref="R206" r:id="rId491" display="Rechercher sur Maps"/>
    <hyperlink ref="W206" r:id="rId492" display="https://tcgtalk.com/blog/complete-pokemon-tcg-products-guide-singapore-collectors-2025-1766156861401"/>
    <hyperlink ref="R207" r:id="rId493" display="Rechercher sur Maps"/>
    <hyperlink ref="W207" r:id="rId494" display="https://thesmartlocal.com/read/guide-to-pokemon-cards-in-singapore/"/>
    <hyperlink ref="R208" r:id="rId495" display="Rechercher sur Maps"/>
    <hyperlink ref="W208" r:id="rId496" display="https://thesmartlocal.com/read/guide-to-pokemon-cards-in-singapore/"/>
    <hyperlink ref="R209" r:id="rId497" display="Rechercher sur Maps"/>
    <hyperlink ref="W209" r:id="rId498" display="https://tcgtalk.com/guides/pokemon-tcg-shops-singapore"/>
    <hyperlink ref="R210" r:id="rId499" display="Rechercher sur Maps"/>
    <hyperlink ref="W210" r:id="rId500" display="https://www.tiktok.com/discover/pokemon-card-live-singapore?lang=en | https://www.tiktok.com/discover/where-to-find-pokemon-packs-in-singapore"/>
    <hyperlink ref="R211" r:id="rId501" display="Rechercher sur Maps"/>
    <hyperlink ref="W211" r:id="rId502" display="https://thesmartlocal.com/read/guide-to-pokemon-cards-in-singapore/"/>
    <hyperlink ref="L212" r:id="rId503" display="https://www.instagram.com/akg.entertainment"/>
    <hyperlink ref="W212" r:id="rId504" display="https://www.instagram.com/akg.entertainment/ | https://investasi.kontan.co.id/news/tren-kartu-pokémon-bangkit-pola-distribusi-dan-pembelian-ikut-berubah | https://www.medcom.id/teknologi/news-teknologi/4KZq0Egk-akg-games-dan-indomaret-bawa-kolaborasi-khusus-kartu-pokemon | https://www.industry.co.id/read/143873/akg-entertainment-perkenalkan-perwakilan-indonesia-di-2025-pokmon-world-championships-dan-seri-kartu-terbaru-hitam-putih"/>
    <hyperlink ref="R213" r:id="rId505" display="Rechercher sur Maps"/>
    <hyperlink ref="W213" r:id="rId506" display="https://www.playbite.com/q/where-to-buy-pokemon-cards-in-jakarta"/>
    <hyperlink ref="W214" r:id="rId507" display="https://www.tokopedia.com/psenterprise/page/6?perpage=20"/>
    <hyperlink ref="W215" r:id="rId508" display="https://www.tokopedia.com/sakurastorejakarta/product"/>
    <hyperlink ref="K216" r:id="rId509" display="https://www.ruparupa.com/toyskingdomonline"/>
    <hyperlink ref="R216" r:id="rId510" display="Rechercher sur Maps"/>
    <hyperlink ref="W216" r:id="rId511" display="https://www.ruparupa.com/toyskingdomonline/jual/kartu-pokemon | https://www.ruparupa.com/toyskingdomonline/jual/pokemon-card"/>
    <hyperlink ref="L217" r:id="rId512" display="https://www.instagram.com/bgs_bandung62"/>
    <hyperlink ref="N217" r:id="rId513" display="https://www.tiktok.com/@brotherhoodgamestorebdg"/>
    <hyperlink ref="R217" r:id="rId514" display="Rechercher sur Maps"/>
    <hyperlink ref="W217" r:id="rId515" display="https://www.instagram.com/bgs_bandung62/ | https://www.tiktok.com/@brotherhoodgamestorebdg/video/7329144928565693701"/>
    <hyperlink ref="W218" r:id="rId516" display="https://www.tokopedia.com/gshock-8888/etalase/sv6s"/>
    <hyperlink ref="K219" r:id="rId517" display="https://geekingout.id/"/>
    <hyperlink ref="W219" r:id="rId518" display="https://geekingout.id/"/>
    <hyperlink ref="L220" r:id="rId519" display="https://www.instagram.com/nimitzcards"/>
    <hyperlink ref="R220" r:id="rId520" display="Rechercher sur Maps"/>
    <hyperlink ref="W220" r:id="rId521" display="https://cgccards.com/news/article/13405"/>
    <hyperlink ref="W221" r:id="rId522" display="https://www.tokopedia.com/find/kartu-pokemon-box-jepang | https://www.tokopedia.com/find/pokemon-card-japan-box"/>
    <hyperlink ref="L222" r:id="rId523" display="https://www.instagram.com/lvl100pokestore.id"/>
    <hyperlink ref="W222" r:id="rId524" display="https://www.instagram.com/lvl100pokestore.id/ | https://www.tokopedia.com/find/kartu-pokemon-box-jepang"/>
    <hyperlink ref="L223" r:id="rId525" display="https://www.instagram.com/pokehuntid"/>
    <hyperlink ref="W223" r:id="rId526" display="https://www.instagram.com/pokehuntid/"/>
    <hyperlink ref="W224" r:id="rId527" display="https://www.tokopedia.com/pokedoy/product | https://www.tokopedia.com/pokedoy/kartu-pokemon-tcg-indonesia-booster-pack-box-card-original-asli-id-ori-booster-box-kilau-hitam-a7991"/>
    <hyperlink ref="W225" r:id="rId528" display="https://www.tokopedia.com/charizardmafiastore/etalase/sold | https://www.tokopedia.com/charizardmafiastore/page/4?perpage=20 | https://www.tokopedia.com/find/kartu-pokemon-charizard-ex-terastal"/>
    <hyperlink ref="K226" r:id="rId529" display="https://www.pocattotcg.com/"/>
    <hyperlink ref="L226" r:id="rId530" display="https://www.instagram.com/pocatto_tcg"/>
    <hyperlink ref="W226" r:id="rId531" display="https://www.instagram.com/pocatto_tcg/ | https://www.pocattotcg.com/"/>
    <hyperlink ref="W227" r:id="rId532" display="https://www.tokopedia.com/voq/etalase/pokemon-sr-ssr | https://www.tokopedia.com/voq/etalase/pokemon-gx"/>
    <hyperlink ref="L228" r:id="rId533" display="https://www.instagram.com/gerberas.corner"/>
    <hyperlink ref="R228" r:id="rId534" display="Rechercher sur Maps"/>
    <hyperlink ref="W228" r:id="rId535" display="https://www.instagram.com/gerberas.corner/"/>
    <hyperlink ref="L229" r:id="rId536" display="https://www.instagram.com/indopokemart"/>
    <hyperlink ref="W229" r:id="rId537" display="https://www.instagram.com/indopokemart/"/>
    <hyperlink ref="L230" r:id="rId538" display="https://www.instagram.com/kado.asia"/>
    <hyperlink ref="W230" r:id="rId539" display="https://www.instagram.com/kado.asia/ | https://www.instagram.com/kado.cardshop/"/>
    <hyperlink ref="W231" r:id="rId540" display="https://www.tokopedia.com/find/pokemon-card-sar-japan"/>
    <hyperlink ref="L232" r:id="rId541" display="https://www.instagram.com/pyokkemontcg"/>
    <hyperlink ref="W232" r:id="rId542" display="https://www.instagram.com/pyokkemontcg/"/>
    <hyperlink ref="W233" r:id="rId543" display="https://www.tokopedia.com/tangguhman-toys/kartu-tcg-pokemon-indonesia-booster-pack-original-all-series-s9a"/>
    <hyperlink ref="L234" r:id="rId544" display="https://www.instagram.com/ruangdankartu"/>
    <hyperlink ref="R234" r:id="rId545" display="Rechercher sur Maps"/>
    <hyperlink ref="W234" r:id="rId546" display="https://www.instagram.com/ruangdankartu/"/>
    <hyperlink ref="L235" r:id="rId547" display="https://www.instagram.com/blesshop_tcg"/>
    <hyperlink ref="W235" r:id="rId548" display="https://www.instagram.com/blesshop_tcg/"/>
    <hyperlink ref="W236" r:id="rId549" display="https://www.tokopedia.com/find/kartu-set-pokemon-indomaret"/>
    <hyperlink ref="L237" r:id="rId550" display="https://www.instagram.com/jakartapokemonstore"/>
    <hyperlink ref="W237" r:id="rId551" display="https://www.instagram.com/jakartapokemonstore/"/>
    <hyperlink ref="W238" r:id="rId552" display="https://www.tokopedia.com/mrshevastore/destined-rivals-booster-box-sv10-18ct-pokemon-english-18-booster-1731574790966249462"/>
    <hyperlink ref="W239" r:id="rId553" display="https://www.tokopedia.com/find/kartu-pokemon-box-asli"/>
    <hyperlink ref="W240" r:id="rId554" display="https://www.tokopedia.com/find/secret-box-pokemon-tcg"/>
    <hyperlink ref="W241" r:id="rId555" display="https://www.tokopedia.com/find/kartu-pokemon-indomaret"/>
    <hyperlink ref="W242" r:id="rId556" display="https://www.tokopedia.com/find/pokemon-booster-box-english"/>
    <hyperlink ref="W243" r:id="rId557" display="https://www.tokopedia.com/find/tcg-pokemon-1-box"/>
    <hyperlink ref="L244" r:id="rId558" display="https://www.instagram.com/littleroottown.id"/>
    <hyperlink ref="R244" r:id="rId559" display="Rechercher sur Maps"/>
    <hyperlink ref="W244" r:id="rId560" display="https://www.instagram.com/littleroottown.id/"/>
    <hyperlink ref="L245" r:id="rId561" display="https://www.instagram.com/sultanpokebab_"/>
    <hyperlink ref="R245" r:id="rId562" display="Rechercher sur Maps"/>
    <hyperlink ref="W245" r:id="rId563" display="https://www.instagram.com/sultanpokebab_/"/>
    <hyperlink ref="W246" r:id="rId564" display="https://www.tokopedia.com/find/tcg-pokemon-jepang"/>
    <hyperlink ref="W247" r:id="rId565" display="https://www.tokopedia.com/find/kartu-pokemon-1-box"/>
    <hyperlink ref="W248" r:id="rId566" display="https://www.tokopedia.com/find/tcg-booster-box"/>
    <hyperlink ref="L249" r:id="rId567" display="https://www.instagram.com/markas.hobby"/>
    <hyperlink ref="R249" r:id="rId568" display="Rechercher sur Maps"/>
    <hyperlink ref="W249" r:id="rId569" display="https://www.instagram.com/markas.hobby/"/>
    <hyperlink ref="W250" r:id="rId570" display="https://www.tokopedia.com/find/kartu-pokemon-indomaret"/>
    <hyperlink ref="L251" r:id="rId571" display="https://www.instagram.com/velocityhobby"/>
    <hyperlink ref="R251" r:id="rId572" display="Rechercher sur Maps"/>
    <hyperlink ref="W251" r:id="rId573" display="https://www.instagram.com/velocityhobby/"/>
    <hyperlink ref="L252" r:id="rId574" display="https://www.instagram.com/tcgshopptk"/>
    <hyperlink ref="R252" r:id="rId575" display="Rechercher sur Maps"/>
    <hyperlink ref="W252" r:id="rId576" display="https://www.instagram.com/tcgshopptk/ | https://www.instagram.com/tcgshop.ptk/"/>
    <hyperlink ref="L253" r:id="rId577" display="https://www.instagram.com/semarang.tcg"/>
    <hyperlink ref="W253" r:id="rId578" display="https://www.instagram.com/semarang.tcg/"/>
    <hyperlink ref="L254" r:id="rId579" display="https://www.instagram.com/happyhobbieshq"/>
    <hyperlink ref="R254" r:id="rId580" display="Rechercher sur Maps"/>
    <hyperlink ref="W254" r:id="rId581" display="https://www.instagram.com/happyhobbieshq/"/>
    <hyperlink ref="L255" r:id="rId582" display="https://www.instagram.com/mabar_sby"/>
    <hyperlink ref="R255" r:id="rId583" display="Rechercher sur Maps"/>
    <hyperlink ref="W255" r:id="rId584" display="https://www.instagram.com/mabar_sby/"/>
    <hyperlink ref="L256" r:id="rId585" display="https://www.instagram.com/markas.tcg"/>
    <hyperlink ref="N256" r:id="rId586" display="https://www.tiktok.com/@markas.surabaya"/>
    <hyperlink ref="R256" r:id="rId587" display="Rechercher sur Maps"/>
    <hyperlink ref="W256" r:id="rId588" display="https://www.instagram.com/markas.tcg/"/>
    <hyperlink ref="W257" r:id="rId589" display="https://www.tokopedia.com/find/pokemon-indonesia-booster"/>
    <hyperlink ref="K258" r:id="rId590" display="https://hoopi.id"/>
    <hyperlink ref="W258" r:id="rId591" display="https://www.tiktok.com/@hyperpotatoes.yt/video/7511970219330391352"/>
    <hyperlink ref="W259" r:id="rId592" display="https://www.tokopedia.com/kerajaanhobby | https://www.tokopedia.com/kerajaanhobby/etalase/sold"/>
    <hyperlink ref="R260" r:id="rId593" display="Rechercher sur Maps"/>
    <hyperlink ref="W260" r:id="rId594" display="https://weekender.thejakartapost.com/prosperity-and-progress/2026/08/27/the-ludicrous-economics-of-pokmon-cards-in-indonesia.html"/>
    <hyperlink ref="W261" r:id="rId595" display="https://www.tiktok.com/discover/poke-dealer-papipul"/>
    <hyperlink ref="R262" r:id="rId596" display="Rechercher sur Maps"/>
    <hyperlink ref="W262" r:id="rId597" display="https://weekender.thejakartapost.com/prosperity-and-progress/2026/08/27/the-ludicrous-economics-of-pokmon-cards-in-indonesia.html"/>
    <hyperlink ref="L263" r:id="rId598" display="https://www.instagram.com/shumitako"/>
    <hyperlink ref="R263" r:id="rId599" display="Rechercher sur Maps"/>
    <hyperlink ref="W263" r:id="rId600" display="https://www.instagram.com/shumitako/"/>
    <hyperlink ref="L264" r:id="rId601" display="https://www.instagram.com/ikicards"/>
    <hyperlink ref="W264" r:id="rId602" display="https://www.instagram.com/ikicards/"/>
    <hyperlink ref="L265" r:id="rId603" display="https://www.instagram.com/juragan.kartu"/>
    <hyperlink ref="W265" r:id="rId604" display="https://www.instagram.com/juragan.kartu/"/>
    <hyperlink ref="L266" r:id="rId605" display="https://www.instagram.com/iccstoreindonesia"/>
    <hyperlink ref="R266" r:id="rId606" display="Rechercher sur Maps"/>
    <hyperlink ref="W266" r:id="rId607" display="https://www.instagram.com/iccstoreindonesia/"/>
    <hyperlink ref="R267" r:id="rId608" display="Rechercher sur Maps"/>
    <hyperlink ref="W267" r:id="rId609" display="https://boardoro.com/en/asia/indonesia/jakarta"/>
    <hyperlink ref="R268" r:id="rId610" display="Rechercher sur Maps"/>
    <hyperlink ref="W268" r:id="rId611" display="https://boardoro.com/en/asia/indonesia/jakarta"/>
    <hyperlink ref="W269" r:id="rId612" display="https://www.tokopedia.com/tcgpokemonplg"/>
    <hyperlink ref="L270" r:id="rId613" display="https://www.instagram.com/utopia_cards"/>
    <hyperlink ref="R270" r:id="rId614" display="Rechercher sur Maps"/>
    <hyperlink ref="W270" r:id="rId615" display="https://www.instagram.com/utopia_cards/"/>
    <hyperlink ref="L271" r:id="rId616" display="https://www.instagram.com/topdeckgamescenter"/>
    <hyperlink ref="R271" r:id="rId617" display="Rechercher sur Maps"/>
    <hyperlink ref="W271" r:id="rId618" display="https://www.instagram.com/topdeckgamescenter/"/>
    <hyperlink ref="L272" r:id="rId619" display="https://www.instagram.com/xollexio"/>
    <hyperlink ref="W272" r:id="rId620" display="https://www.instagram.com/xollexio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2026-10-08T08:16:56Z</dcterms:created>
  <dc:creator>openpyxl</dc:creator>
  <dc:description/>
  <dc:language>en-US</dc:language>
  <cp:lastModifiedBy/>
  <dcterms:modified xsi:type="dcterms:W3CDTF">2026-10-08T08:16:57Z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